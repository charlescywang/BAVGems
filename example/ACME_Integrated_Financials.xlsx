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Condensed Financials" sheetId="4" state="visible" r:id="rId4"/>
    <sheet xmlns:r="http://schemas.openxmlformats.org/officeDocument/2006/relationships" name="ALT DuPont" sheetId="5" state="visible" r:id="rId5"/>
    <sheet xmlns:r="http://schemas.openxmlformats.org/officeDocument/2006/relationships" name="Model_B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D, YYYY"/>
    <numFmt numFmtId="166" formatCode="#,##0;(#,##0)"/>
    <numFmt numFmtId="167" formatCode="0.0%"/>
    <numFmt numFmtId="168" formatCode="0.000"/>
    <numFmt numFmtId="169" formatCode="$#,##0.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0" fillId="0" borderId="0" pivotButton="0" quotePrefix="0" xfId="0"/>
    <xf numFmtId="166" fontId="3" fillId="0" borderId="0" pivotButton="0" quotePrefix="0" xfId="0"/>
    <xf numFmtId="0" fontId="3" fillId="2" borderId="0" pivotButton="0" quotePrefix="0" xfId="0"/>
    <xf numFmtId="167" fontId="0" fillId="0" borderId="0" pivotButton="0" quotePrefix="0" xfId="0"/>
    <xf numFmtId="166" fontId="0" fillId="3" borderId="0" pivotButton="0" quotePrefix="0" xfId="0"/>
    <xf numFmtId="166" fontId="0" fillId="4" borderId="0" pivotButton="0" quotePrefix="0" xfId="0"/>
    <xf numFmtId="0" fontId="4" fillId="5" borderId="0" pivotButton="0" quotePrefix="0" xfId="0"/>
    <xf numFmtId="2" fontId="0" fillId="0" borderId="0" pivotButton="0" quotePrefix="0" xfId="0"/>
    <xf numFmtId="167" fontId="0" fillId="3" borderId="0" pivotButton="0" quotePrefix="0" xfId="0"/>
    <xf numFmtId="0" fontId="4" fillId="0" borderId="0" pivotButton="0" quotePrefix="0" xfId="0"/>
    <xf numFmtId="167" fontId="4" fillId="0" borderId="0" pivotButton="0" quotePrefix="0" xfId="0"/>
    <xf numFmtId="168" fontId="0" fillId="0" borderId="0" pivotButton="0" quotePrefix="0" xfId="0"/>
    <xf numFmtId="169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ACME Corporation (ACME) — Income Statement</t>
        </is>
      </c>
    </row>
    <row r="2">
      <c r="A2" s="2" t="inlineStr">
        <is>
          <t>Units: USD millions · only the source tabs hold hardcoded data</t>
        </is>
      </c>
    </row>
    <row r="3">
      <c r="A3" s="2" t="inlineStr">
        <is>
          <t>Sample data — fictional company for demonstration</t>
        </is>
      </c>
    </row>
    <row r="6">
      <c r="A6" s="3" t="inlineStr">
        <is>
          <t>Line Item</t>
        </is>
      </c>
      <c r="B6" s="4" t="n">
        <v>45291</v>
      </c>
      <c r="C6" s="4" t="n">
        <v>45657</v>
      </c>
      <c r="D6" s="4" t="n">
        <v>46022</v>
      </c>
    </row>
    <row r="7">
      <c r="A7" t="inlineStr">
        <is>
          <t>Revenues</t>
        </is>
      </c>
      <c r="B7" s="5" t="n">
        <v>1000</v>
      </c>
      <c r="C7" s="5" t="n">
        <v>1150</v>
      </c>
      <c r="D7" s="5" t="n">
        <v>1322</v>
      </c>
    </row>
    <row r="8">
      <c r="A8" t="inlineStr">
        <is>
          <t>Cost of revenues</t>
        </is>
      </c>
      <c r="B8" s="5" t="n">
        <v>-400</v>
      </c>
      <c r="C8" s="5" t="n">
        <v>-460</v>
      </c>
      <c r="D8" s="5" t="n">
        <v>-529</v>
      </c>
    </row>
    <row r="9">
      <c r="A9" t="inlineStr">
        <is>
          <t>Gross profit</t>
        </is>
      </c>
      <c r="B9" s="6">
        <f>B7+B8</f>
        <v/>
      </c>
      <c r="C9" s="6">
        <f>C7+C8</f>
        <v/>
      </c>
      <c r="D9" s="6">
        <f>D7+D8</f>
        <v/>
      </c>
    </row>
    <row r="10">
      <c r="A10" t="inlineStr">
        <is>
          <t>Research and development</t>
        </is>
      </c>
      <c r="B10" s="5" t="n">
        <v>-150</v>
      </c>
      <c r="C10" s="5" t="n">
        <v>-172</v>
      </c>
      <c r="D10" s="5" t="n">
        <v>-198</v>
      </c>
    </row>
    <row r="11">
      <c r="A11" t="inlineStr">
        <is>
          <t>Selling, general and administrative</t>
        </is>
      </c>
      <c r="B11" s="5" t="n">
        <v>-200</v>
      </c>
      <c r="C11" s="5" t="n">
        <v>-230</v>
      </c>
      <c r="D11" s="5" t="n">
        <v>-264</v>
      </c>
    </row>
    <row r="12">
      <c r="A12" t="inlineStr">
        <is>
          <t>Income from operations</t>
        </is>
      </c>
      <c r="B12" s="6">
        <f>B9+B10+B11</f>
        <v/>
      </c>
      <c r="C12" s="6">
        <f>C9+C10+C11</f>
        <v/>
      </c>
      <c r="D12" s="6">
        <f>D9+D10+D11</f>
        <v/>
      </c>
    </row>
    <row r="13">
      <c r="A13" t="inlineStr">
        <is>
          <t>Interest expense</t>
        </is>
      </c>
      <c r="B13" s="5" t="n">
        <v>-10</v>
      </c>
      <c r="C13" s="5" t="n">
        <v>-10</v>
      </c>
      <c r="D13" s="5" t="n">
        <v>-10</v>
      </c>
    </row>
    <row r="14">
      <c r="A14" t="inlineStr">
        <is>
          <t>Interest income</t>
        </is>
      </c>
      <c r="B14" s="5" t="n">
        <v>5</v>
      </c>
      <c r="C14" s="5" t="n">
        <v>5</v>
      </c>
      <c r="D14" s="5" t="n">
        <v>5</v>
      </c>
    </row>
    <row r="15">
      <c r="A15" t="inlineStr">
        <is>
          <t>Income before income taxes</t>
        </is>
      </c>
      <c r="B15" s="6">
        <f>B12+B13+B14</f>
        <v/>
      </c>
      <c r="C15" s="6">
        <f>C12+C13+C14</f>
        <v/>
      </c>
      <c r="D15" s="6">
        <f>D12+D13+D14</f>
        <v/>
      </c>
    </row>
    <row r="16">
      <c r="A16" t="inlineStr">
        <is>
          <t>Provision for income taxes</t>
        </is>
      </c>
      <c r="B16" s="5" t="n">
        <v>-51</v>
      </c>
      <c r="C16" s="5" t="n">
        <v>-59</v>
      </c>
      <c r="D16" s="5" t="n">
        <v>-68</v>
      </c>
    </row>
    <row r="17">
      <c r="A17" t="inlineStr">
        <is>
          <t>Net income</t>
        </is>
      </c>
      <c r="B17" s="6">
        <f>B15+B16</f>
        <v/>
      </c>
      <c r="C17" s="6">
        <f>C15+C16</f>
        <v/>
      </c>
      <c r="D17" s="6">
        <f>D15+D16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ACME Corporation (ACME) — Balance Sheet</t>
        </is>
      </c>
    </row>
    <row r="2">
      <c r="A2" s="2" t="inlineStr">
        <is>
          <t>Units: USD millions</t>
        </is>
      </c>
    </row>
    <row r="3">
      <c r="A3" s="2" t="inlineStr">
        <is>
          <t>Sample data — fictional company for demonstration</t>
        </is>
      </c>
    </row>
    <row r="6">
      <c r="A6" s="3" t="inlineStr">
        <is>
          <t>Line Item</t>
        </is>
      </c>
      <c r="B6" s="4" t="n">
        <v>45291</v>
      </c>
      <c r="C6" s="4" t="n">
        <v>45657</v>
      </c>
      <c r="D6" s="4" t="n">
        <v>46022</v>
      </c>
    </row>
    <row r="7">
      <c r="A7" s="3" t="inlineStr">
        <is>
          <t>ASSETS</t>
        </is>
      </c>
    </row>
    <row r="8">
      <c r="A8" t="inlineStr">
        <is>
          <t>Cash and cash equivalents</t>
        </is>
      </c>
      <c r="B8" s="5" t="n">
        <v>100</v>
      </c>
      <c r="C8" s="5" t="n">
        <v>130</v>
      </c>
      <c r="D8" s="5" t="n">
        <v>168</v>
      </c>
    </row>
    <row r="9">
      <c r="A9" t="inlineStr">
        <is>
          <t>Short-term investments</t>
        </is>
      </c>
      <c r="B9" s="5" t="n">
        <v>50</v>
      </c>
      <c r="C9" s="5" t="n">
        <v>55</v>
      </c>
      <c r="D9" s="5" t="n">
        <v>60</v>
      </c>
    </row>
    <row r="10">
      <c r="A10" t="inlineStr">
        <is>
          <t>Accounts receivable, net</t>
        </is>
      </c>
      <c r="B10" s="5" t="n">
        <v>120</v>
      </c>
      <c r="C10" s="5" t="n">
        <v>138</v>
      </c>
      <c r="D10" s="5" t="n">
        <v>159</v>
      </c>
    </row>
    <row r="11">
      <c r="A11" t="inlineStr">
        <is>
          <t>Inventory</t>
        </is>
      </c>
      <c r="B11" s="5" t="n">
        <v>80</v>
      </c>
      <c r="C11" s="5" t="n">
        <v>92</v>
      </c>
      <c r="D11" s="5" t="n">
        <v>106</v>
      </c>
    </row>
    <row r="12">
      <c r="A12" t="inlineStr">
        <is>
          <t>Property and equipment, net</t>
        </is>
      </c>
      <c r="B12" s="5" t="n">
        <v>400</v>
      </c>
      <c r="C12" s="5" t="n">
        <v>460</v>
      </c>
      <c r="D12" s="5" t="n">
        <v>529</v>
      </c>
    </row>
    <row r="13">
      <c r="A13" t="inlineStr">
        <is>
          <t>Goodwill</t>
        </is>
      </c>
      <c r="B13" s="5" t="n">
        <v>60</v>
      </c>
      <c r="C13" s="5" t="n">
        <v>60</v>
      </c>
      <c r="D13" s="5" t="n">
        <v>60</v>
      </c>
    </row>
    <row r="14">
      <c r="A14" t="inlineStr">
        <is>
          <t>Other non-current assets</t>
        </is>
      </c>
      <c r="B14" s="5" t="n">
        <v>30</v>
      </c>
      <c r="C14" s="5" t="n">
        <v>33</v>
      </c>
      <c r="D14" s="5" t="n">
        <v>36</v>
      </c>
    </row>
    <row r="15">
      <c r="A15" s="3" t="inlineStr">
        <is>
          <t>Total assets</t>
        </is>
      </c>
      <c r="B15" s="6">
        <f>SUM(B8:B14)</f>
        <v/>
      </c>
      <c r="C15" s="6">
        <f>SUM(C8:C14)</f>
        <v/>
      </c>
      <c r="D15" s="6">
        <f>SUM(D8:D14)</f>
        <v/>
      </c>
    </row>
    <row r="17">
      <c r="A17" s="3" t="inlineStr">
        <is>
          <t>LIABILITIES</t>
        </is>
      </c>
    </row>
    <row r="18">
      <c r="A18" t="inlineStr">
        <is>
          <t>Accounts payable</t>
        </is>
      </c>
      <c r="B18" s="5" t="n">
        <v>70</v>
      </c>
      <c r="C18" s="5" t="n">
        <v>80</v>
      </c>
      <c r="D18" s="5" t="n">
        <v>92</v>
      </c>
    </row>
    <row r="19">
      <c r="A19" t="inlineStr">
        <is>
          <t>Accrued compensation</t>
        </is>
      </c>
      <c r="B19" s="5" t="n">
        <v>40</v>
      </c>
      <c r="C19" s="5" t="n">
        <v>46</v>
      </c>
      <c r="D19" s="5" t="n">
        <v>53</v>
      </c>
    </row>
    <row r="20">
      <c r="A20" t="inlineStr">
        <is>
          <t>Deferred revenue</t>
        </is>
      </c>
      <c r="B20" s="5" t="n">
        <v>30</v>
      </c>
      <c r="C20" s="5" t="n">
        <v>35</v>
      </c>
      <c r="D20" s="5" t="n">
        <v>40</v>
      </c>
    </row>
    <row r="21">
      <c r="A21" t="inlineStr">
        <is>
          <t>Short-term debt</t>
        </is>
      </c>
      <c r="B21" s="5" t="n">
        <v>20</v>
      </c>
      <c r="C21" s="5" t="n">
        <v>20</v>
      </c>
      <c r="D21" s="5" t="n">
        <v>20</v>
      </c>
    </row>
    <row r="22">
      <c r="A22" t="inlineStr">
        <is>
          <t>Long-term debt</t>
        </is>
      </c>
      <c r="B22" s="5" t="n">
        <v>200</v>
      </c>
      <c r="C22" s="5" t="n">
        <v>210</v>
      </c>
      <c r="D22" s="5" t="n">
        <v>220</v>
      </c>
    </row>
    <row r="23">
      <c r="A23" t="inlineStr">
        <is>
          <t>Operating lease liabilities</t>
        </is>
      </c>
      <c r="B23" s="5" t="n">
        <v>40</v>
      </c>
      <c r="C23" s="5" t="n">
        <v>44</v>
      </c>
      <c r="D23" s="5" t="n">
        <v>48</v>
      </c>
    </row>
    <row r="24">
      <c r="A24" t="inlineStr">
        <is>
          <t>Other non-current liabilities</t>
        </is>
      </c>
      <c r="B24" s="5" t="n">
        <v>25</v>
      </c>
      <c r="C24" s="5" t="n">
        <v>28</v>
      </c>
      <c r="D24" s="5" t="n">
        <v>31</v>
      </c>
    </row>
    <row r="25">
      <c r="A25" s="3" t="inlineStr">
        <is>
          <t>Total liabilities</t>
        </is>
      </c>
      <c r="B25" s="6">
        <f>SUM(B18:B24)</f>
        <v/>
      </c>
      <c r="C25" s="6">
        <f>SUM(C18:C24)</f>
        <v/>
      </c>
      <c r="D25" s="6">
        <f>SUM(D18:D24)</f>
        <v/>
      </c>
    </row>
    <row r="27">
      <c r="A27" s="3" t="inlineStr">
        <is>
          <t>STOCKHOLDERS' EQUITY</t>
        </is>
      </c>
    </row>
    <row r="28">
      <c r="A28" t="inlineStr">
        <is>
          <t>Common stock and paid-in capital</t>
        </is>
      </c>
      <c r="B28" s="5" t="n">
        <v>150</v>
      </c>
      <c r="C28" s="5" t="n">
        <v>150</v>
      </c>
      <c r="D28" s="5" t="n">
        <v>150</v>
      </c>
    </row>
    <row r="29">
      <c r="A29" t="inlineStr">
        <is>
          <t>Retained earnings</t>
        </is>
      </c>
      <c r="B29" s="5" t="n">
        <v>265</v>
      </c>
      <c r="C29" s="5" t="n">
        <v>355</v>
      </c>
      <c r="D29" s="5" t="n">
        <v>464</v>
      </c>
    </row>
    <row r="30">
      <c r="A30" s="3" t="inlineStr">
        <is>
          <t>Total stockholders' equity</t>
        </is>
      </c>
      <c r="B30" s="6">
        <f>SUM(B28:B29)</f>
        <v/>
      </c>
      <c r="C30" s="6">
        <f>SUM(C28:C29)</f>
        <v/>
      </c>
      <c r="D30" s="6">
        <f>SUM(D28:D29)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ACME Corporation (ACME) — Cash Flow Statement</t>
        </is>
      </c>
    </row>
    <row r="2">
      <c r="A2" s="2" t="inlineStr">
        <is>
          <t>Units: USD millions · FY2023 omitted (no prior-year balance in sample)</t>
        </is>
      </c>
    </row>
    <row r="3">
      <c r="A3" s="2" t="inlineStr">
        <is>
          <t>Sample data — fictional company for demonstration</t>
        </is>
      </c>
    </row>
    <row r="6">
      <c r="A6" s="3" t="inlineStr">
        <is>
          <t>Line Item</t>
        </is>
      </c>
      <c r="B6" s="4" t="n">
        <v>45657</v>
      </c>
      <c r="C6" s="4" t="n">
        <v>46022</v>
      </c>
    </row>
    <row r="7">
      <c r="A7" t="inlineStr">
        <is>
          <t>Net income</t>
        </is>
      </c>
      <c r="B7" s="5" t="n">
        <v>224</v>
      </c>
      <c r="C7" s="5" t="n">
        <v>258</v>
      </c>
    </row>
    <row r="8">
      <c r="A8" t="inlineStr">
        <is>
          <t>Depreciation &amp; amortization</t>
        </is>
      </c>
      <c r="B8" s="5" t="n">
        <v>70</v>
      </c>
      <c r="C8" s="5" t="n">
        <v>80</v>
      </c>
    </row>
    <row r="9">
      <c r="A9" t="inlineStr">
        <is>
          <t>Working capital &amp; other</t>
        </is>
      </c>
      <c r="B9" s="5" t="n">
        <v>-2</v>
      </c>
      <c r="C9" s="5" t="n">
        <v>-4</v>
      </c>
    </row>
    <row r="10">
      <c r="A10" s="3" t="inlineStr">
        <is>
          <t>Cash from operations</t>
        </is>
      </c>
      <c r="B10" s="5" t="n">
        <v>292</v>
      </c>
      <c r="C10" s="5" t="n">
        <v>334</v>
      </c>
    </row>
    <row r="11">
      <c r="A11" t="inlineStr">
        <is>
          <t>Capital expenditures</t>
        </is>
      </c>
      <c r="B11" s="5" t="n">
        <v>-130</v>
      </c>
      <c r="C11" s="5" t="n">
        <v>-149</v>
      </c>
    </row>
    <row r="12">
      <c r="A12" t="inlineStr">
        <is>
          <t>Investments &amp; other</t>
        </is>
      </c>
      <c r="B12" s="5" t="n">
        <v>-8</v>
      </c>
      <c r="C12" s="5" t="n">
        <v>-8</v>
      </c>
    </row>
    <row r="13">
      <c r="A13" s="3" t="inlineStr">
        <is>
          <t>Cash from investing</t>
        </is>
      </c>
      <c r="B13" s="5" t="n">
        <v>-138</v>
      </c>
      <c r="C13" s="5" t="n">
        <v>-157</v>
      </c>
    </row>
    <row r="14">
      <c r="A14" t="inlineStr">
        <is>
          <t>Debt issued, net</t>
        </is>
      </c>
      <c r="B14" s="5" t="n">
        <v>10</v>
      </c>
      <c r="C14" s="5" t="n">
        <v>10</v>
      </c>
    </row>
    <row r="15">
      <c r="A15" t="inlineStr">
        <is>
          <t>Dividends paid</t>
        </is>
      </c>
      <c r="B15" s="5" t="n">
        <v>-134</v>
      </c>
      <c r="C15" s="5" t="n">
        <v>-149</v>
      </c>
    </row>
    <row r="16">
      <c r="A16" s="3" t="inlineStr">
        <is>
          <t>Cash from financing</t>
        </is>
      </c>
      <c r="B16" s="5" t="n">
        <v>-124</v>
      </c>
      <c r="C16" s="5" t="n">
        <v>-139</v>
      </c>
    </row>
    <row r="17">
      <c r="A17" s="3" t="inlineStr">
        <is>
          <t>Net change in cash</t>
        </is>
      </c>
      <c r="B17" s="5" t="n">
        <v>30</v>
      </c>
      <c r="C17" s="5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</cols>
  <sheetData>
    <row r="1">
      <c r="A1" s="1" t="inlineStr">
        <is>
          <t>ACME Corporation (ACME) — Condensed Financials</t>
        </is>
      </c>
    </row>
    <row r="2">
      <c r="A2" s="2" t="inlineStr">
        <is>
          <t>All aggregates are SUMIFs over the CLASSIFICATION TABLE below — toggle column E to reclassify</t>
        </is>
      </c>
    </row>
    <row r="3">
      <c r="A3" s="2" t="inlineStr">
        <is>
          <t>Sample data — fictional company for demonstration</t>
        </is>
      </c>
    </row>
    <row r="5">
      <c r="A5" s="3" t="inlineStr">
        <is>
          <t>Line Item</t>
        </is>
      </c>
      <c r="B5" s="4" t="n">
        <v>45291</v>
      </c>
      <c r="C5" s="4" t="n">
        <v>45657</v>
      </c>
      <c r="D5" s="4" t="n">
        <v>46022</v>
      </c>
    </row>
    <row r="7">
      <c r="A7" s="7" t="inlineStr">
        <is>
          <t>A. CONDENSED INCOME STATEMENT</t>
        </is>
      </c>
    </row>
    <row r="8">
      <c r="A8" t="inlineStr">
        <is>
          <t>Net income</t>
        </is>
      </c>
      <c r="B8" s="5">
        <f>'Income Statement'!B17</f>
        <v/>
      </c>
      <c r="C8" s="5">
        <f>'Income Statement'!C17</f>
        <v/>
      </c>
      <c r="D8" s="5">
        <f>'Income Statement'!D17</f>
        <v/>
      </c>
    </row>
    <row r="9">
      <c r="A9" t="inlineStr">
        <is>
          <t>Interest expense (abs)</t>
        </is>
      </c>
      <c r="B9" s="5">
        <f>ABS('Income Statement'!B13)</f>
        <v/>
      </c>
      <c r="C9" s="5">
        <f>ABS('Income Statement'!C13)</f>
        <v/>
      </c>
      <c r="D9" s="5">
        <f>ABS('Income Statement'!D13)</f>
        <v/>
      </c>
    </row>
    <row r="10">
      <c r="A10" t="inlineStr">
        <is>
          <t>Interest income</t>
        </is>
      </c>
      <c r="B10" s="5">
        <f>'Income Statement'!B14</f>
        <v/>
      </c>
      <c r="C10" s="5">
        <f>'Income Statement'!C14</f>
        <v/>
      </c>
      <c r="D10" s="5">
        <f>'Income Statement'!D14</f>
        <v/>
      </c>
    </row>
    <row r="11">
      <c r="A11" t="inlineStr">
        <is>
          <t>Net interest expense</t>
        </is>
      </c>
      <c r="B11" s="5">
        <f>B9-B10</f>
        <v/>
      </c>
      <c r="C11" s="5">
        <f>C9-C10</f>
        <v/>
      </c>
      <c r="D11" s="5">
        <f>D9-D10</f>
        <v/>
      </c>
    </row>
    <row r="12">
      <c r="A12" t="inlineStr">
        <is>
          <t>Effective tax rate</t>
        </is>
      </c>
      <c r="B12" s="8">
        <f>IFERROR(ABS('Income Statement'!B16)/'Income Statement'!B15,0)</f>
        <v/>
      </c>
      <c r="C12" s="8">
        <f>IFERROR(ABS('Income Statement'!C16)/'Income Statement'!C15,0)</f>
        <v/>
      </c>
      <c r="D12" s="8">
        <f>IFERROR(ABS('Income Statement'!D16)/'Income Statement'!D15,0)</f>
        <v/>
      </c>
    </row>
    <row r="13">
      <c r="A13" t="inlineStr">
        <is>
          <t>Net interest after tax</t>
        </is>
      </c>
      <c r="B13" s="5">
        <f>B11*(1-B12)</f>
        <v/>
      </c>
      <c r="C13" s="5">
        <f>C11*(1-C12)</f>
        <v/>
      </c>
      <c r="D13" s="5">
        <f>D11*(1-D12)</f>
        <v/>
      </c>
    </row>
    <row r="14">
      <c r="A14" s="3" t="inlineStr">
        <is>
          <t>NOPAT</t>
        </is>
      </c>
      <c r="B14" s="9">
        <f>B8+B13</f>
        <v/>
      </c>
      <c r="C14" s="9">
        <f>C8+C13</f>
        <v/>
      </c>
      <c r="D14" s="9">
        <f>D8+D13</f>
        <v/>
      </c>
    </row>
    <row r="16">
      <c r="A16" s="7" t="inlineStr">
        <is>
          <t>B. CONDENSED BALANCE SHEET</t>
        </is>
      </c>
    </row>
    <row r="17">
      <c r="A17" s="3" t="inlineStr">
        <is>
          <t>Operating Working Capital Assets</t>
        </is>
      </c>
      <c r="B17" s="5">
        <f>SUMIF($E$33:$E$48,"Operating Working Capital Asset",B$33:B$48)</f>
        <v/>
      </c>
      <c r="C17" s="5">
        <f>SUMIF($E$33:$E$48,"Operating Working Capital Asset",C$33:C$48)</f>
        <v/>
      </c>
      <c r="D17" s="5">
        <f>SUMIF($E$33:$E$48,"Operating Working Capital Asset",D$33:D$48)</f>
        <v/>
      </c>
    </row>
    <row r="18">
      <c r="A18" s="3" t="inlineStr">
        <is>
          <t>Operating Working Capital Liabilities</t>
        </is>
      </c>
      <c r="B18" s="5">
        <f>SUMIF($E$33:$E$48,"Operating Working Capital Liability",B$33:B$48)</f>
        <v/>
      </c>
      <c r="C18" s="5">
        <f>SUMIF($E$33:$E$48,"Operating Working Capital Liability",C$33:C$48)</f>
        <v/>
      </c>
      <c r="D18" s="5">
        <f>SUMIF($E$33:$E$48,"Operating Working Capital Liability",D$33:D$48)</f>
        <v/>
      </c>
    </row>
    <row r="19">
      <c r="A19" s="3" t="inlineStr">
        <is>
          <t>NET OPERATING WORKING CAPITAL (NOWC)</t>
        </is>
      </c>
      <c r="B19" s="9">
        <f>B17-B18</f>
        <v/>
      </c>
      <c r="C19" s="9">
        <f>C17-C18</f>
        <v/>
      </c>
      <c r="D19" s="9">
        <f>D17-D18</f>
        <v/>
      </c>
    </row>
    <row r="21">
      <c r="A21" s="3" t="inlineStr">
        <is>
          <t>Operating Long-Term Assets</t>
        </is>
      </c>
      <c r="B21" s="5">
        <f>SUMIF($E$33:$E$48,"Operating Long-Term Asset",B$33:B$48)</f>
        <v/>
      </c>
      <c r="C21" s="5">
        <f>SUMIF($E$33:$E$48,"Operating Long-Term Asset",C$33:C$48)</f>
        <v/>
      </c>
      <c r="D21" s="5">
        <f>SUMIF($E$33:$E$48,"Operating Long-Term Asset",D$33:D$48)</f>
        <v/>
      </c>
    </row>
    <row r="22">
      <c r="A22" s="3" t="inlineStr">
        <is>
          <t>Operating Long-Term Liabilities</t>
        </is>
      </c>
      <c r="B22" s="5">
        <f>SUMIF($E$33:$E$48,"Operating Long-Term Liability",B$33:B$48)</f>
        <v/>
      </c>
      <c r="C22" s="5">
        <f>SUMIF($E$33:$E$48,"Operating Long-Term Liability",C$33:C$48)</f>
        <v/>
      </c>
      <c r="D22" s="5">
        <f>SUMIF($E$33:$E$48,"Operating Long-Term Liability",D$33:D$48)</f>
        <v/>
      </c>
    </row>
    <row r="23">
      <c r="A23" s="3" t="inlineStr">
        <is>
          <t>NET OPERATING LT ASSETS (NOLA)</t>
        </is>
      </c>
      <c r="B23" s="9">
        <f>B21-B22</f>
        <v/>
      </c>
      <c r="C23" s="9">
        <f>C21-C22</f>
        <v/>
      </c>
      <c r="D23" s="9">
        <f>D21-D22</f>
        <v/>
      </c>
    </row>
    <row r="25">
      <c r="A25" s="3" t="inlineStr">
        <is>
          <t>NET OPERATING ASSETS (NOA)</t>
        </is>
      </c>
      <c r="B25" s="10">
        <f>B19+B23</f>
        <v/>
      </c>
      <c r="C25" s="10">
        <f>C19+C23</f>
        <v/>
      </c>
      <c r="D25" s="10">
        <f>D19+D23</f>
        <v/>
      </c>
    </row>
    <row r="27">
      <c r="A27" s="3" t="inlineStr">
        <is>
          <t>Financial Assets</t>
        </is>
      </c>
      <c r="B27" s="5">
        <f>SUMIF($E$33:$E$48,"Financial Asset",B$33:B$48)</f>
        <v/>
      </c>
      <c r="C27" s="5">
        <f>SUMIF($E$33:$E$48,"Financial Asset",C$33:C$48)</f>
        <v/>
      </c>
      <c r="D27" s="5">
        <f>SUMIF($E$33:$E$48,"Financial Asset",D$33:D$48)</f>
        <v/>
      </c>
    </row>
    <row r="28">
      <c r="A28" s="3" t="inlineStr">
        <is>
          <t>Financial Liabilities</t>
        </is>
      </c>
      <c r="B28" s="5">
        <f>SUMIF($E$33:$E$48,"Financial Liability",B$33:B$48)</f>
        <v/>
      </c>
      <c r="C28" s="5">
        <f>SUMIF($E$33:$E$48,"Financial Liability",C$33:C$48)</f>
        <v/>
      </c>
      <c r="D28" s="5">
        <f>SUMIF($E$33:$E$48,"Financial Liability",D$33:D$48)</f>
        <v/>
      </c>
    </row>
    <row r="29">
      <c r="A29" s="3" t="inlineStr">
        <is>
          <t>NET DEBT</t>
        </is>
      </c>
      <c r="B29" s="10">
        <f>B28-B27</f>
        <v/>
      </c>
      <c r="C29" s="10">
        <f>C28-C27</f>
        <v/>
      </c>
      <c r="D29" s="10">
        <f>D28-D27</f>
        <v/>
      </c>
    </row>
    <row r="30">
      <c r="A30" s="3" t="inlineStr">
        <is>
          <t>EQUITY (NOA − Net Debt)</t>
        </is>
      </c>
      <c r="B30" s="10">
        <f>B25-B29</f>
        <v/>
      </c>
      <c r="C30" s="10">
        <f>C25-C29</f>
        <v/>
      </c>
      <c r="D30" s="10">
        <f>D25-D29</f>
        <v/>
      </c>
    </row>
    <row r="31">
      <c r="A31" s="3" t="inlineStr">
        <is>
          <t>Reported equity</t>
        </is>
      </c>
      <c r="B31" s="5">
        <f>'Balance Sheet'!B30</f>
        <v/>
      </c>
      <c r="C31" s="5">
        <f>'Balance Sheet'!C30</f>
        <v/>
      </c>
      <c r="D31" s="5">
        <f>'Balance Sheet'!D30</f>
        <v/>
      </c>
    </row>
    <row r="32">
      <c r="A32" s="7" t="inlineStr">
        <is>
          <t>C. CLASSIFICATION TABLE — click any cell in column E for the dropdown</t>
        </is>
      </c>
    </row>
    <row r="33">
      <c r="A33" t="inlineStr">
        <is>
          <t>Cash and cash equivalents</t>
        </is>
      </c>
      <c r="B33" s="5">
        <f>'Balance Sheet'!B8</f>
        <v/>
      </c>
      <c r="C33" s="5">
        <f>'Balance Sheet'!C8</f>
        <v/>
      </c>
      <c r="D33" s="5">
        <f>'Balance Sheet'!D8</f>
        <v/>
      </c>
      <c r="E33" s="11" t="inlineStr">
        <is>
          <t>Financial Asset</t>
        </is>
      </c>
    </row>
    <row r="34">
      <c r="A34" t="inlineStr">
        <is>
          <t>Short-term investments</t>
        </is>
      </c>
      <c r="B34" s="5">
        <f>'Balance Sheet'!B9</f>
        <v/>
      </c>
      <c r="C34" s="5">
        <f>'Balance Sheet'!C9</f>
        <v/>
      </c>
      <c r="D34" s="5">
        <f>'Balance Sheet'!D9</f>
        <v/>
      </c>
      <c r="E34" s="11" t="inlineStr">
        <is>
          <t>Financial Asset</t>
        </is>
      </c>
    </row>
    <row r="35">
      <c r="A35" t="inlineStr">
        <is>
          <t>Accounts receivable, net</t>
        </is>
      </c>
      <c r="B35" s="5">
        <f>'Balance Sheet'!B10</f>
        <v/>
      </c>
      <c r="C35" s="5">
        <f>'Balance Sheet'!C10</f>
        <v/>
      </c>
      <c r="D35" s="5">
        <f>'Balance Sheet'!D10</f>
        <v/>
      </c>
      <c r="E35" s="11" t="inlineStr">
        <is>
          <t>Operating Working Capital Asset</t>
        </is>
      </c>
    </row>
    <row r="36">
      <c r="A36" t="inlineStr">
        <is>
          <t>Inventory</t>
        </is>
      </c>
      <c r="B36" s="5">
        <f>'Balance Sheet'!B11</f>
        <v/>
      </c>
      <c r="C36" s="5">
        <f>'Balance Sheet'!C11</f>
        <v/>
      </c>
      <c r="D36" s="5">
        <f>'Balance Sheet'!D11</f>
        <v/>
      </c>
      <c r="E36" s="11" t="inlineStr">
        <is>
          <t>Operating Working Capital Asset</t>
        </is>
      </c>
    </row>
    <row r="37">
      <c r="A37" t="inlineStr">
        <is>
          <t>Property and equipment, net</t>
        </is>
      </c>
      <c r="B37" s="5">
        <f>'Balance Sheet'!B12</f>
        <v/>
      </c>
      <c r="C37" s="5">
        <f>'Balance Sheet'!C12</f>
        <v/>
      </c>
      <c r="D37" s="5">
        <f>'Balance Sheet'!D12</f>
        <v/>
      </c>
      <c r="E37" s="11" t="inlineStr">
        <is>
          <t>Operating Long-Term Asset</t>
        </is>
      </c>
    </row>
    <row r="38">
      <c r="A38" t="inlineStr">
        <is>
          <t>Goodwill</t>
        </is>
      </c>
      <c r="B38" s="5">
        <f>'Balance Sheet'!B13</f>
        <v/>
      </c>
      <c r="C38" s="5">
        <f>'Balance Sheet'!C13</f>
        <v/>
      </c>
      <c r="D38" s="5">
        <f>'Balance Sheet'!D13</f>
        <v/>
      </c>
      <c r="E38" s="11" t="inlineStr">
        <is>
          <t>Operating Long-Term Asset</t>
        </is>
      </c>
    </row>
    <row r="39">
      <c r="A39" t="inlineStr">
        <is>
          <t>Other non-current assets</t>
        </is>
      </c>
      <c r="B39" s="5">
        <f>'Balance Sheet'!B14</f>
        <v/>
      </c>
      <c r="C39" s="5">
        <f>'Balance Sheet'!C14</f>
        <v/>
      </c>
      <c r="D39" s="5">
        <f>'Balance Sheet'!D14</f>
        <v/>
      </c>
      <c r="E39" s="11" t="inlineStr">
        <is>
          <t>Operating Long-Term Asset</t>
        </is>
      </c>
    </row>
    <row r="40">
      <c r="A40" t="inlineStr">
        <is>
          <t>Accounts payable</t>
        </is>
      </c>
      <c r="B40" s="5">
        <f>'Balance Sheet'!B18</f>
        <v/>
      </c>
      <c r="C40" s="5">
        <f>'Balance Sheet'!C18</f>
        <v/>
      </c>
      <c r="D40" s="5">
        <f>'Balance Sheet'!D18</f>
        <v/>
      </c>
      <c r="E40" s="11" t="inlineStr">
        <is>
          <t>Operating Working Capital Liability</t>
        </is>
      </c>
    </row>
    <row r="41">
      <c r="A41" t="inlineStr">
        <is>
          <t>Accrued compensation</t>
        </is>
      </c>
      <c r="B41" s="5">
        <f>'Balance Sheet'!B19</f>
        <v/>
      </c>
      <c r="C41" s="5">
        <f>'Balance Sheet'!C19</f>
        <v/>
      </c>
      <c r="D41" s="5">
        <f>'Balance Sheet'!D19</f>
        <v/>
      </c>
      <c r="E41" s="11" t="inlineStr">
        <is>
          <t>Operating Working Capital Liability</t>
        </is>
      </c>
    </row>
    <row r="42">
      <c r="A42" t="inlineStr">
        <is>
          <t>Deferred revenue</t>
        </is>
      </c>
      <c r="B42" s="5">
        <f>'Balance Sheet'!B20</f>
        <v/>
      </c>
      <c r="C42" s="5">
        <f>'Balance Sheet'!C20</f>
        <v/>
      </c>
      <c r="D42" s="5">
        <f>'Balance Sheet'!D20</f>
        <v/>
      </c>
      <c r="E42" s="11" t="inlineStr">
        <is>
          <t>Operating Working Capital Liability</t>
        </is>
      </c>
    </row>
    <row r="43">
      <c r="A43" t="inlineStr">
        <is>
          <t>Short-term debt</t>
        </is>
      </c>
      <c r="B43" s="5">
        <f>'Balance Sheet'!B21</f>
        <v/>
      </c>
      <c r="C43" s="5">
        <f>'Balance Sheet'!C21</f>
        <v/>
      </c>
      <c r="D43" s="5">
        <f>'Balance Sheet'!D21</f>
        <v/>
      </c>
      <c r="E43" s="11" t="inlineStr">
        <is>
          <t>Financial Liability</t>
        </is>
      </c>
    </row>
    <row r="44">
      <c r="A44" t="inlineStr">
        <is>
          <t>Long-term debt</t>
        </is>
      </c>
      <c r="B44" s="5">
        <f>'Balance Sheet'!B22</f>
        <v/>
      </c>
      <c r="C44" s="5">
        <f>'Balance Sheet'!C22</f>
        <v/>
      </c>
      <c r="D44" s="5">
        <f>'Balance Sheet'!D22</f>
        <v/>
      </c>
      <c r="E44" s="11" t="inlineStr">
        <is>
          <t>Financial Liability</t>
        </is>
      </c>
    </row>
    <row r="45">
      <c r="A45" t="inlineStr">
        <is>
          <t>Operating lease liabilities</t>
        </is>
      </c>
      <c r="B45" s="5">
        <f>'Balance Sheet'!B23</f>
        <v/>
      </c>
      <c r="C45" s="5">
        <f>'Balance Sheet'!C23</f>
        <v/>
      </c>
      <c r="D45" s="5">
        <f>'Balance Sheet'!D23</f>
        <v/>
      </c>
      <c r="E45" s="11" t="inlineStr">
        <is>
          <t>Operating Long-Term Liability</t>
        </is>
      </c>
    </row>
    <row r="46">
      <c r="A46" t="inlineStr">
        <is>
          <t>Other non-current liabilities</t>
        </is>
      </c>
      <c r="B46" s="5">
        <f>'Balance Sheet'!B24</f>
        <v/>
      </c>
      <c r="C46" s="5">
        <f>'Balance Sheet'!C24</f>
        <v/>
      </c>
      <c r="D46" s="5">
        <f>'Balance Sheet'!D24</f>
        <v/>
      </c>
      <c r="E46" s="11" t="inlineStr">
        <is>
          <t>Operating Long-Term Liability</t>
        </is>
      </c>
    </row>
    <row r="47">
      <c r="A47" t="inlineStr">
        <is>
          <t>Common stock and paid-in capital</t>
        </is>
      </c>
      <c r="B47" s="5">
        <f>'Balance Sheet'!B28</f>
        <v/>
      </c>
      <c r="C47" s="5">
        <f>'Balance Sheet'!C28</f>
        <v/>
      </c>
      <c r="D47" s="5">
        <f>'Balance Sheet'!D28</f>
        <v/>
      </c>
      <c r="E47" s="11" t="inlineStr">
        <is>
          <t>Equity</t>
        </is>
      </c>
    </row>
    <row r="48">
      <c r="A48" t="inlineStr">
        <is>
          <t>Retained earnings</t>
        </is>
      </c>
      <c r="B48" s="5">
        <f>'Balance Sheet'!B29</f>
        <v/>
      </c>
      <c r="C48" s="5">
        <f>'Balance Sheet'!C29</f>
        <v/>
      </c>
      <c r="D48" s="5">
        <f>'Balance Sheet'!D29</f>
        <v/>
      </c>
      <c r="E48" s="11" t="inlineStr">
        <is>
          <t>Equity</t>
        </is>
      </c>
    </row>
  </sheetData>
  <dataValidations count="1">
    <dataValidation sqref="E33:E48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ACME Corporation (ACME) — ALT DuPont</t>
        </is>
      </c>
    </row>
    <row r="2">
      <c r="A2" s="2" t="inlineStr">
        <is>
          <t>ROE = RNOA + FLEV × Spread · all inputs formula-linked to Condensed Financials</t>
        </is>
      </c>
    </row>
    <row r="3">
      <c r="A3" s="2" t="inlineStr">
        <is>
          <t>Sample data — fictional company for demonstration</t>
        </is>
      </c>
    </row>
    <row r="5">
      <c r="A5" s="3" t="inlineStr">
        <is>
          <t>Line Item</t>
        </is>
      </c>
      <c r="B5" s="4" t="n">
        <v>45291</v>
      </c>
      <c r="C5" s="4" t="n">
        <v>45657</v>
      </c>
      <c r="D5" s="4" t="n">
        <v>46022</v>
      </c>
    </row>
    <row r="7">
      <c r="A7" t="inlineStr">
        <is>
          <t>NOPAT margin</t>
        </is>
      </c>
      <c r="B7" s="8">
        <f>IFERROR('Condensed Financials'!B14/'Income Statement'!B7,0)</f>
        <v/>
      </c>
      <c r="C7" s="8">
        <f>IFERROR('Condensed Financials'!C14/'Income Statement'!C7,0)</f>
        <v/>
      </c>
      <c r="D7" s="8">
        <f>IFERROR('Condensed Financials'!D14/'Income Statement'!D7,0)</f>
        <v/>
      </c>
    </row>
    <row r="8">
      <c r="A8" t="inlineStr">
        <is>
          <t>Avg NOA</t>
        </is>
      </c>
      <c r="B8" t="inlineStr">
        <is>
          <t>n/a</t>
        </is>
      </c>
      <c r="C8" s="5">
        <f>('Condensed Financials'!C25+'Condensed Financials'!B25)/2</f>
        <v/>
      </c>
      <c r="D8" s="5">
        <f>('Condensed Financials'!D25+'Condensed Financials'!C25)/2</f>
        <v/>
      </c>
    </row>
    <row r="9">
      <c r="A9" t="inlineStr">
        <is>
          <t>Asset turnover</t>
        </is>
      </c>
      <c r="B9" t="inlineStr">
        <is>
          <t>n/a</t>
        </is>
      </c>
      <c r="C9" s="12">
        <f>IFERROR('Income Statement'!C7/C8,0)</f>
        <v/>
      </c>
      <c r="D9" s="12">
        <f>IFERROR('Income Statement'!D7/D8,0)</f>
        <v/>
      </c>
    </row>
    <row r="10">
      <c r="A10" t="inlineStr">
        <is>
          <t>RNOA</t>
        </is>
      </c>
      <c r="B10" t="inlineStr">
        <is>
          <t>n/a</t>
        </is>
      </c>
      <c r="C10" s="13">
        <f>C7*C9</f>
        <v/>
      </c>
      <c r="D10" s="13">
        <f>D7*D9</f>
        <v/>
      </c>
    </row>
    <row r="11">
      <c r="A11" t="inlineStr">
        <is>
          <t>Avg net debt</t>
        </is>
      </c>
      <c r="B11" t="inlineStr">
        <is>
          <t>n/a</t>
        </is>
      </c>
      <c r="C11" s="5">
        <f>('Condensed Financials'!C29+'Condensed Financials'!B29)/2</f>
        <v/>
      </c>
      <c r="D11" s="5">
        <f>('Condensed Financials'!D29+'Condensed Financials'!C29)/2</f>
        <v/>
      </c>
    </row>
    <row r="12">
      <c r="A12" t="inlineStr">
        <is>
          <t>After-tax cost of debt</t>
        </is>
      </c>
      <c r="B12" t="inlineStr">
        <is>
          <t>n/a</t>
        </is>
      </c>
      <c r="C12" s="8">
        <f>IFERROR('Condensed Financials'!C13/C11,0)</f>
        <v/>
      </c>
      <c r="D12" s="8">
        <f>IFERROR('Condensed Financials'!D13/D11,0)</f>
        <v/>
      </c>
    </row>
    <row r="13">
      <c r="A13" t="inlineStr">
        <is>
          <t>Spread</t>
        </is>
      </c>
      <c r="B13" t="inlineStr">
        <is>
          <t>n/a</t>
        </is>
      </c>
      <c r="C13" s="8">
        <f>C10-C12</f>
        <v/>
      </c>
      <c r="D13" s="8">
        <f>D10-D12</f>
        <v/>
      </c>
    </row>
    <row r="14">
      <c r="A14" t="inlineStr">
        <is>
          <t>Avg equity</t>
        </is>
      </c>
      <c r="B14" t="inlineStr">
        <is>
          <t>n/a</t>
        </is>
      </c>
      <c r="C14" s="5">
        <f>('Condensed Financials'!C30+'Condensed Financials'!B30)/2</f>
        <v/>
      </c>
      <c r="D14" s="5">
        <f>('Condensed Financials'!D30+'Condensed Financials'!C30)/2</f>
        <v/>
      </c>
    </row>
    <row r="15">
      <c r="A15" t="inlineStr">
        <is>
          <t>FLEV</t>
        </is>
      </c>
      <c r="B15" t="inlineStr">
        <is>
          <t>n/a</t>
        </is>
      </c>
      <c r="C15" s="12">
        <f>IFERROR(C11/C14,0)</f>
        <v/>
      </c>
      <c r="D15" s="12">
        <f>IFERROR(D11/D14,0)</f>
        <v/>
      </c>
    </row>
    <row r="16">
      <c r="A16" t="inlineStr">
        <is>
          <t>ROE (RNOA + FLEV×Spread)</t>
        </is>
      </c>
      <c r="B16" t="inlineStr">
        <is>
          <t>n/a</t>
        </is>
      </c>
      <c r="C16" s="13">
        <f>C10+C13*C15</f>
        <v/>
      </c>
      <c r="D16" s="13">
        <f>D10+D13*D15</f>
        <v/>
      </c>
    </row>
    <row r="17">
      <c r="A17" t="inlineStr">
        <is>
          <t>Actual ROE (NI / Avg equity)</t>
        </is>
      </c>
      <c r="B17" t="inlineStr">
        <is>
          <t>n/a</t>
        </is>
      </c>
      <c r="C17" s="8">
        <f>IFERROR('Condensed Financials'!C8/C14,0)</f>
        <v/>
      </c>
      <c r="D17" s="8">
        <f>IFERROR('Condensed Financials'!D8/D14,0)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ACME Corporation (ACME) — Residual Income Model — BASE</t>
        </is>
      </c>
    </row>
    <row r="2">
      <c r="A2" s="2" t="inlineStr">
        <is>
          <t>10-year forecast · blue cells are editable inputs</t>
        </is>
      </c>
    </row>
    <row r="3">
      <c r="A3" s="2" t="inlineStr">
        <is>
          <t>Sample data — fictional company for demonstration</t>
        </is>
      </c>
    </row>
    <row r="4">
      <c r="A4" t="inlineStr">
        <is>
          <t>Beta</t>
        </is>
      </c>
      <c r="B4" s="14" t="n">
        <v>1.1</v>
      </c>
    </row>
    <row r="5">
      <c r="A5" t="inlineStr">
        <is>
          <t>Equity risk premium</t>
        </is>
      </c>
      <c r="B5" s="14" t="n">
        <v>0.05</v>
      </c>
    </row>
    <row r="6">
      <c r="A6" t="inlineStr">
        <is>
          <t>Risk-free rate</t>
        </is>
      </c>
      <c r="B6" s="14" t="n">
        <v>0.04</v>
      </c>
    </row>
    <row r="7">
      <c r="A7" t="inlineStr">
        <is>
          <t>Cost of equity (Ke)</t>
        </is>
      </c>
      <c r="B7">
        <f>B6+B4*B5</f>
        <v/>
      </c>
    </row>
    <row r="9">
      <c r="A9" t="inlineStr">
        <is>
          <t>Year</t>
        </is>
      </c>
      <c r="B9" t="n">
        <v>2025</v>
      </c>
      <c r="C9" s="3" t="n">
        <v>2026</v>
      </c>
      <c r="D9" s="3" t="n">
        <v>2027</v>
      </c>
      <c r="E9" s="3" t="n">
        <v>2028</v>
      </c>
      <c r="F9" s="3" t="n">
        <v>2029</v>
      </c>
      <c r="G9" s="3" t="n">
        <v>2030</v>
      </c>
      <c r="H9" s="3" t="n">
        <v>2031</v>
      </c>
      <c r="I9" s="3" t="n">
        <v>2032</v>
      </c>
      <c r="J9" s="3" t="n">
        <v>2033</v>
      </c>
      <c r="K9" s="3" t="n">
        <v>2034</v>
      </c>
      <c r="L9" s="3" t="n">
        <v>2035</v>
      </c>
    </row>
    <row r="10">
      <c r="A10" t="inlineStr">
        <is>
          <t>Revenue growth</t>
        </is>
      </c>
      <c r="C10" s="15" t="n">
        <v>0.12</v>
      </c>
      <c r="D10" s="15" t="n">
        <v>0.11</v>
      </c>
      <c r="E10" s="15" t="n">
        <v>0.1</v>
      </c>
      <c r="F10" s="15" t="n">
        <v>0.09</v>
      </c>
      <c r="G10" s="15" t="n">
        <v>0.08</v>
      </c>
      <c r="H10" s="15" t="n">
        <v>0.07000000000000001</v>
      </c>
      <c r="I10" s="15" t="n">
        <v>0.06</v>
      </c>
      <c r="J10" s="15" t="n">
        <v>0.05</v>
      </c>
      <c r="K10" s="15" t="n">
        <v>0.045</v>
      </c>
      <c r="L10" s="15" t="n">
        <v>0.04</v>
      </c>
    </row>
    <row r="11">
      <c r="A11" t="inlineStr">
        <is>
          <t>NOPAT margin</t>
        </is>
      </c>
      <c r="C11" s="15" t="n">
        <v>0.2</v>
      </c>
      <c r="D11" s="15" t="n">
        <v>0.195</v>
      </c>
      <c r="E11" s="15" t="n">
        <v>0.19</v>
      </c>
      <c r="F11" s="15" t="n">
        <v>0.18</v>
      </c>
      <c r="G11" s="15" t="n">
        <v>0.17</v>
      </c>
      <c r="H11" s="15" t="n">
        <v>0.16</v>
      </c>
      <c r="I11" s="15" t="n">
        <v>0.155</v>
      </c>
      <c r="J11" s="15" t="n">
        <v>0.15</v>
      </c>
      <c r="K11" s="15" t="n">
        <v>0.145</v>
      </c>
      <c r="L11" s="15" t="n">
        <v>0.14</v>
      </c>
    </row>
    <row r="12">
      <c r="A12" t="inlineStr">
        <is>
          <t>NOWC / sales</t>
        </is>
      </c>
      <c r="C12" s="8">
        <f>C16/C15</f>
        <v/>
      </c>
      <c r="D12" s="15" t="n">
        <v>0.06</v>
      </c>
      <c r="E12" s="15" t="n">
        <v>0.06</v>
      </c>
      <c r="F12" s="15" t="n">
        <v>0.06</v>
      </c>
      <c r="G12" s="15" t="n">
        <v>0.06</v>
      </c>
      <c r="H12" s="15" t="n">
        <v>0.06</v>
      </c>
      <c r="I12" s="15" t="n">
        <v>0.06</v>
      </c>
      <c r="J12" s="15" t="n">
        <v>0.06</v>
      </c>
      <c r="K12" s="15" t="n">
        <v>0.06</v>
      </c>
      <c r="L12" s="15" t="n">
        <v>0.06</v>
      </c>
    </row>
    <row r="13">
      <c r="A13" t="inlineStr">
        <is>
          <t>NOLA / sales</t>
        </is>
      </c>
      <c r="C13" s="8">
        <f>C17/C15</f>
        <v/>
      </c>
      <c r="D13" s="15" t="n">
        <v>0.44</v>
      </c>
      <c r="E13" s="15" t="n">
        <v>0.46</v>
      </c>
      <c r="F13" s="15" t="n">
        <v>0.48</v>
      </c>
      <c r="G13" s="15" t="n">
        <v>0.5</v>
      </c>
      <c r="H13" s="15" t="n">
        <v>0.52</v>
      </c>
      <c r="I13" s="15" t="n">
        <v>0.54</v>
      </c>
      <c r="J13" s="15" t="n">
        <v>0.5600000000000001</v>
      </c>
      <c r="K13" s="15" t="n">
        <v>0.58</v>
      </c>
      <c r="L13" s="15" t="n">
        <v>0.6</v>
      </c>
    </row>
    <row r="15">
      <c r="A15" t="inlineStr">
        <is>
          <t>Sales</t>
        </is>
      </c>
      <c r="B15">
        <f>'Income Statement'!D7</f>
        <v/>
      </c>
      <c r="C15" s="5">
        <f>B15*(1+C10)</f>
        <v/>
      </c>
      <c r="D15" s="5">
        <f>C15*(1+D10)</f>
        <v/>
      </c>
      <c r="E15" s="5">
        <f>D15*(1+E10)</f>
        <v/>
      </c>
      <c r="F15" s="5">
        <f>E15*(1+F10)</f>
        <v/>
      </c>
      <c r="G15" s="5">
        <f>F15*(1+G10)</f>
        <v/>
      </c>
      <c r="H15" s="5">
        <f>G15*(1+H10)</f>
        <v/>
      </c>
      <c r="I15" s="5">
        <f>H15*(1+I10)</f>
        <v/>
      </c>
      <c r="J15" s="5">
        <f>I15*(1+J10)</f>
        <v/>
      </c>
      <c r="K15" s="5">
        <f>J15*(1+K10)</f>
        <v/>
      </c>
      <c r="L15" s="5">
        <f>K15*(1+L10)</f>
        <v/>
      </c>
    </row>
    <row r="16">
      <c r="A16" t="inlineStr">
        <is>
          <t>NOWC (beg)</t>
        </is>
      </c>
      <c r="C16" s="5">
        <f>'Condensed Financials'!D19</f>
        <v/>
      </c>
      <c r="D16" s="5">
        <f>D12*D15</f>
        <v/>
      </c>
      <c r="E16" s="5">
        <f>E12*E15</f>
        <v/>
      </c>
      <c r="F16" s="5">
        <f>F12*F15</f>
        <v/>
      </c>
      <c r="G16" s="5">
        <f>G12*G15</f>
        <v/>
      </c>
      <c r="H16" s="5">
        <f>H12*H15</f>
        <v/>
      </c>
      <c r="I16" s="5">
        <f>I12*I15</f>
        <v/>
      </c>
      <c r="J16" s="5">
        <f>J12*J15</f>
        <v/>
      </c>
      <c r="K16" s="5">
        <f>K12*K15</f>
        <v/>
      </c>
      <c r="L16" s="5">
        <f>L12*L15</f>
        <v/>
      </c>
    </row>
    <row r="17">
      <c r="A17" t="inlineStr">
        <is>
          <t>NOLA (beg)</t>
        </is>
      </c>
      <c r="C17" s="5">
        <f>'Condensed Financials'!D23</f>
        <v/>
      </c>
      <c r="D17" s="5">
        <f>D13*D15</f>
        <v/>
      </c>
      <c r="E17" s="5">
        <f>E13*E15</f>
        <v/>
      </c>
      <c r="F17" s="5">
        <f>F13*F15</f>
        <v/>
      </c>
      <c r="G17" s="5">
        <f>G13*G15</f>
        <v/>
      </c>
      <c r="H17" s="5">
        <f>H13*H15</f>
        <v/>
      </c>
      <c r="I17" s="5">
        <f>I13*I15</f>
        <v/>
      </c>
      <c r="J17" s="5">
        <f>J13*J15</f>
        <v/>
      </c>
      <c r="K17" s="5">
        <f>K13*K15</f>
        <v/>
      </c>
      <c r="L17" s="5">
        <f>L13*L15</f>
        <v/>
      </c>
    </row>
    <row r="18">
      <c r="A18" t="inlineStr">
        <is>
          <t>Net debt (beg)</t>
        </is>
      </c>
      <c r="C18" s="5">
        <f>'Condensed Financials'!D29</f>
        <v/>
      </c>
      <c r="D18" s="5">
        <f>$C$18/($C$16+$C$17)*(D16+D17)</f>
        <v/>
      </c>
      <c r="E18" s="5">
        <f>$C$18/($C$16+$C$17)*(E16+E17)</f>
        <v/>
      </c>
      <c r="F18" s="5">
        <f>$C$18/($C$16+$C$17)*(F16+F17)</f>
        <v/>
      </c>
      <c r="G18" s="5">
        <f>$C$18/($C$16+$C$17)*(G16+G17)</f>
        <v/>
      </c>
      <c r="H18" s="5">
        <f>$C$18/($C$16+$C$17)*(H16+H17)</f>
        <v/>
      </c>
      <c r="I18" s="5">
        <f>$C$18/($C$16+$C$17)*(I16+I17)</f>
        <v/>
      </c>
      <c r="J18" s="5">
        <f>$C$18/($C$16+$C$17)*(J16+J17)</f>
        <v/>
      </c>
      <c r="K18" s="5">
        <f>$C$18/($C$16+$C$17)*(K16+K17)</f>
        <v/>
      </c>
      <c r="L18" s="5">
        <f>$C$18/($C$16+$C$17)*(L16+L17)</f>
        <v/>
      </c>
    </row>
    <row r="19">
      <c r="A19" t="inlineStr">
        <is>
          <t>Equity (beg)</t>
        </is>
      </c>
      <c r="C19" s="5">
        <f>C16+C17-C18</f>
        <v/>
      </c>
      <c r="D19" s="5">
        <f>D16+D17-D18</f>
        <v/>
      </c>
      <c r="E19" s="5">
        <f>E16+E17-E18</f>
        <v/>
      </c>
      <c r="F19" s="5">
        <f>F16+F17-F18</f>
        <v/>
      </c>
      <c r="G19" s="5">
        <f>G16+G17-G18</f>
        <v/>
      </c>
      <c r="H19" s="5">
        <f>H16+H17-H18</f>
        <v/>
      </c>
      <c r="I19" s="5">
        <f>I16+I17-I18</f>
        <v/>
      </c>
      <c r="J19" s="5">
        <f>J16+J17-J18</f>
        <v/>
      </c>
      <c r="K19" s="5">
        <f>K16+K17-K18</f>
        <v/>
      </c>
      <c r="L19" s="5">
        <f>L16+L17-L18</f>
        <v/>
      </c>
    </row>
    <row r="21">
      <c r="A21" t="inlineStr">
        <is>
          <t>NOPAT</t>
        </is>
      </c>
      <c r="C21" s="5">
        <f>C15*C11</f>
        <v/>
      </c>
      <c r="D21" s="5">
        <f>D15*D11</f>
        <v/>
      </c>
      <c r="E21" s="5">
        <f>E15*E11</f>
        <v/>
      </c>
      <c r="F21" s="5">
        <f>F15*F11</f>
        <v/>
      </c>
      <c r="G21" s="5">
        <f>G15*G11</f>
        <v/>
      </c>
      <c r="H21" s="5">
        <f>H15*H11</f>
        <v/>
      </c>
      <c r="I21" s="5">
        <f>I15*I11</f>
        <v/>
      </c>
      <c r="J21" s="5">
        <f>J15*J11</f>
        <v/>
      </c>
      <c r="K21" s="5">
        <f>K15*K11</f>
        <v/>
      </c>
      <c r="L21" s="5">
        <f>L15*L11</f>
        <v/>
      </c>
    </row>
    <row r="22">
      <c r="A22" t="inlineStr">
        <is>
          <t>Net income</t>
        </is>
      </c>
      <c r="C22" s="5">
        <f>C21-C18*0.03</f>
        <v/>
      </c>
      <c r="D22" s="5">
        <f>D21-D18*0.03</f>
        <v/>
      </c>
      <c r="E22" s="5">
        <f>E21-E18*0.03</f>
        <v/>
      </c>
      <c r="F22" s="5">
        <f>F21-F18*0.03</f>
        <v/>
      </c>
      <c r="G22" s="5">
        <f>G21-G18*0.03</f>
        <v/>
      </c>
      <c r="H22" s="5">
        <f>H21-H18*0.03</f>
        <v/>
      </c>
      <c r="I22" s="5">
        <f>I21-I18*0.03</f>
        <v/>
      </c>
      <c r="J22" s="5">
        <f>J21-J18*0.03</f>
        <v/>
      </c>
      <c r="K22" s="5">
        <f>K21-K18*0.03</f>
        <v/>
      </c>
      <c r="L22" s="5">
        <f>L21-L18*0.03</f>
        <v/>
      </c>
    </row>
    <row r="23">
      <c r="A23" t="inlineStr">
        <is>
          <t>Abnormal earnings</t>
        </is>
      </c>
      <c r="C23" s="10">
        <f>C22-C19*$B$7</f>
        <v/>
      </c>
      <c r="D23" s="10">
        <f>D22-D19*$B$7</f>
        <v/>
      </c>
      <c r="E23" s="10">
        <f>E22-E19*$B$7</f>
        <v/>
      </c>
      <c r="F23" s="10">
        <f>F22-F19*$B$7</f>
        <v/>
      </c>
      <c r="G23" s="10">
        <f>G22-G19*$B$7</f>
        <v/>
      </c>
      <c r="H23" s="10">
        <f>H22-H19*$B$7</f>
        <v/>
      </c>
      <c r="I23" s="10">
        <f>I22-I19*$B$7</f>
        <v/>
      </c>
      <c r="J23" s="10">
        <f>J22-J19*$B$7</f>
        <v/>
      </c>
      <c r="K23" s="10">
        <f>K22-K19*$B$7</f>
        <v/>
      </c>
      <c r="L23" s="10">
        <f>L22-L19*$B$7</f>
        <v/>
      </c>
    </row>
    <row r="24">
      <c r="A24" t="inlineStr">
        <is>
          <t>PV factor</t>
        </is>
      </c>
      <c r="C24" s="16">
        <f>1/(1+$B$7)</f>
        <v/>
      </c>
      <c r="D24" s="16">
        <f>C24/(1+$B$7)</f>
        <v/>
      </c>
      <c r="E24" s="16">
        <f>D24/(1+$B$7)</f>
        <v/>
      </c>
      <c r="F24" s="16">
        <f>E24/(1+$B$7)</f>
        <v/>
      </c>
      <c r="G24" s="16">
        <f>F24/(1+$B$7)</f>
        <v/>
      </c>
      <c r="H24" s="16">
        <f>G24/(1+$B$7)</f>
        <v/>
      </c>
      <c r="I24" s="16">
        <f>H24/(1+$B$7)</f>
        <v/>
      </c>
      <c r="J24" s="16">
        <f>I24/(1+$B$7)</f>
        <v/>
      </c>
      <c r="K24" s="16">
        <f>J24/(1+$B$7)</f>
        <v/>
      </c>
      <c r="L24" s="16">
        <f>K24/(1+$B$7)</f>
        <v/>
      </c>
    </row>
    <row r="25">
      <c r="A25" t="inlineStr">
        <is>
          <t>PV of AE</t>
        </is>
      </c>
      <c r="C25" s="5">
        <f>C23*C24</f>
        <v/>
      </c>
      <c r="D25" s="5">
        <f>D23*D24</f>
        <v/>
      </c>
      <c r="E25" s="5">
        <f>E23*E24</f>
        <v/>
      </c>
      <c r="F25" s="5">
        <f>F23*F24</f>
        <v/>
      </c>
      <c r="G25" s="5">
        <f>G23*G24</f>
        <v/>
      </c>
      <c r="H25" s="5">
        <f>H23*H24</f>
        <v/>
      </c>
      <c r="I25" s="5">
        <f>I23*I24</f>
        <v/>
      </c>
      <c r="J25" s="5">
        <f>J23*J24</f>
        <v/>
      </c>
      <c r="K25" s="5">
        <f>K23*K24</f>
        <v/>
      </c>
      <c r="L25" s="5">
        <f>L23*L24</f>
        <v/>
      </c>
    </row>
    <row r="27">
      <c r="A27" t="inlineStr">
        <is>
          <t>Sum PV(AE)</t>
        </is>
      </c>
      <c r="C27" s="5">
        <f>SUM(C25:L25)</f>
        <v/>
      </c>
    </row>
    <row r="28">
      <c r="A28" t="inlineStr">
        <is>
          <t>Terminal value (g=3%)</t>
        </is>
      </c>
      <c r="C28" s="5">
        <f>L23*(1+0.03)/($B$7-0.03)*L24</f>
        <v/>
      </c>
    </row>
    <row r="29">
      <c r="A29" t="inlineStr">
        <is>
          <t>Beginning book equity</t>
        </is>
      </c>
      <c r="C29" s="5">
        <f>C19</f>
        <v/>
      </c>
    </row>
    <row r="30">
      <c r="A30" t="inlineStr">
        <is>
          <t>Intrinsic value of equity</t>
        </is>
      </c>
      <c r="C30" s="6">
        <f>C27+C28+C29</f>
        <v/>
      </c>
    </row>
    <row r="31">
      <c r="A31" t="inlineStr">
        <is>
          <t>Diluted shares (M)</t>
        </is>
      </c>
      <c r="C31" s="14" t="n">
        <v>100</v>
      </c>
    </row>
    <row r="32">
      <c r="A32" s="3" t="inlineStr">
        <is>
          <t>INTRINSIC VALUE PER SHARE</t>
        </is>
      </c>
      <c r="C32" s="17">
        <f>C30/C31</f>
        <v/>
      </c>
    </row>
    <row r="34">
      <c r="A34" s="2" t="inlineStr">
        <is>
          <t>Note: real builds carry Model_Bear / Model_Base / Model_Bull plus a Scenario_Summary with probability weighting — this sample shows one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2026-06-12T00:41:20Z</dcterms:created>
  <dcterms:modified xmlns:dcterms="http://purl.org/dc/terms/" xmlns:xsi="http://www.w3.org/2001/XMLSchema-instance" xsi:type="dcterms:W3CDTF">2026-06-12T00:41:20Z</dcterms:modified>
</cp:coreProperties>
</file>