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" yWindow="660" windowWidth="68480" windowHeight="27980" tabRatio="500" firstSheet="0" activeTab="1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Condensed Financials" sheetId="4" state="visible" r:id="rId4"/>
    <sheet xmlns:r="http://schemas.openxmlformats.org/officeDocument/2006/relationships" name="ALT DuPont" sheetId="5" state="visible" r:id="rId5"/>
    <sheet xmlns:r="http://schemas.openxmlformats.org/officeDocument/2006/relationships" name="Earnings Quality" sheetId="6" state="visible" r:id="rId6"/>
    <sheet xmlns:r="http://schemas.openxmlformats.org/officeDocument/2006/relationships" name="Guidance &amp; Consensus" sheetId="7" state="visible" r:id="rId7"/>
    <sheet xmlns:r="http://schemas.openxmlformats.org/officeDocument/2006/relationships" name="Model_Bear" sheetId="8" state="visible" r:id="rId8"/>
    <sheet xmlns:r="http://schemas.openxmlformats.org/officeDocument/2006/relationships" name="Model_Base" sheetId="9" state="visible" r:id="rId9"/>
    <sheet xmlns:r="http://schemas.openxmlformats.org/officeDocument/2006/relationships" name="Model_Bull" sheetId="10" state="visible" r:id="rId10"/>
    <sheet xmlns:r="http://schemas.openxmlformats.org/officeDocument/2006/relationships" name="Scenario_Summary" sheetId="11" state="visible" r:id="rId11"/>
    <sheet xmlns:r="http://schemas.openxmlformats.org/officeDocument/2006/relationships" name="Implied Cost of Capital" sheetId="12" state="visible" r:id="rId12"/>
    <sheet xmlns:r="http://schemas.openxmlformats.org/officeDocument/2006/relationships" name="Valuation Multiple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00"/>
    <numFmt numFmtId="166" formatCode="#,##0;\(#,##0\)"/>
    <numFmt numFmtId="167" formatCode="mmm\ dd\,\ yyyy"/>
    <numFmt numFmtId="168" formatCode="0.0"/>
    <numFmt numFmtId="169" formatCode="#,##0.00;\(#,##0.00\)"/>
    <numFmt numFmtId="170" formatCode="0.000"/>
    <numFmt numFmtId="171" formatCode="0.00000"/>
    <numFmt numFmtId="172" formatCode="0.0&quot;x&quot;"/>
  </numFmts>
  <fonts count="29">
    <font>
      <name val="Calibri"/>
      <charset val="1"/>
      <family val="2"/>
      <color theme="1"/>
      <sz val="11"/>
    </font>
    <font>
      <name val="Calibri"/>
      <family val="2"/>
      <b val="1"/>
      <sz val="11"/>
    </font>
    <font>
      <name val="Calibri"/>
      <family val="2"/>
      <i val="1"/>
      <sz val="9"/>
    </font>
    <font>
      <name val="Calibri"/>
      <family val="2"/>
      <color rgb="FF008000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color rgb="FF666666"/>
      <sz val="9"/>
    </font>
    <font>
      <name val="Calibri"/>
      <family val="2"/>
      <b val="1"/>
      <color rgb="FF1F4E79"/>
      <sz val="11"/>
    </font>
    <font>
      <name val="Calibri"/>
      <family val="2"/>
      <b val="1"/>
      <sz val="14"/>
    </font>
    <font>
      <name val="Calibri"/>
      <family val="2"/>
      <b val="1"/>
      <sz val="13"/>
    </font>
    <font>
      <name val="Calibri"/>
      <family val="2"/>
      <i val="1"/>
      <color rgb="FF666666"/>
      <sz val="11"/>
    </font>
    <font>
      <name val="Arial"/>
      <family val="2"/>
      <b val="1"/>
      <sz val="11"/>
    </font>
    <font>
      <name val="Arial"/>
      <family val="2"/>
      <i val="1"/>
      <sz val="11"/>
    </font>
    <font>
      <name val="Arial"/>
      <family val="2"/>
      <color rgb="FF0000FF"/>
      <sz val="11"/>
    </font>
    <font>
      <name val="Calibri"/>
      <family val="2"/>
      <i val="1"/>
      <sz val="9"/>
    </font>
    <font>
      <name val="Calibri"/>
      <family val="2"/>
      <b val="1"/>
      <sz val="11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i val="1"/>
      <sz val="9"/>
    </font>
    <font>
      <name val="Calibri"/>
      <color rgb="FF0000FF"/>
      <sz val="11"/>
    </font>
    <font>
      <name val="Calibri"/>
      <b val="1"/>
      <sz val="11"/>
    </font>
    <font>
      <name val="Calibri"/>
      <sz val="11"/>
    </font>
    <font>
      <name val="Calibri"/>
      <i val="1"/>
      <sz val="9"/>
    </font>
    <font>
      <i val="1"/>
      <sz val="9"/>
    </font>
    <font>
      <b val="1"/>
    </font>
    <font>
      <b val="1"/>
      <sz val="12"/>
    </font>
  </fonts>
  <fills count="17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8F0FE"/>
      </patternFill>
    </fill>
    <fill>
      <patternFill patternType="solid">
        <fgColor rgb="FFFCE5CD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E2F3"/>
        <bgColor rgb="FFD9E2F3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119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167" fontId="1" fillId="0" borderId="0" pivotButton="0" quotePrefix="0" xfId="0"/>
    <xf numFmtId="166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7" fontId="1" fillId="2" borderId="0" pivotButton="0" quotePrefix="0" xfId="0"/>
    <xf numFmtId="0" fontId="1" fillId="3" borderId="0" pivotButton="0" quotePrefix="0" xfId="0"/>
    <xf numFmtId="166" fontId="3" fillId="0" borderId="0" pivotButton="0" quotePrefix="0" xfId="0"/>
    <xf numFmtId="166" fontId="4" fillId="0" borderId="0" pivotButton="0" quotePrefix="0" xfId="0"/>
    <xf numFmtId="0" fontId="1" fillId="4" borderId="0" pivotButton="0" quotePrefix="0" xfId="0"/>
    <xf numFmtId="166" fontId="1" fillId="4" borderId="0" pivotButton="0" quotePrefix="0" xfId="0"/>
    <xf numFmtId="0" fontId="1" fillId="5" borderId="0" pivotButton="0" quotePrefix="0" xfId="0"/>
    <xf numFmtId="166" fontId="1" fillId="5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6" borderId="1" applyAlignment="1" pivotButton="0" quotePrefix="0" xfId="0">
      <alignment horizontal="left"/>
    </xf>
    <xf numFmtId="10" fontId="0" fillId="0" borderId="0" pivotButton="0" quotePrefix="0" xfId="0"/>
    <xf numFmtId="2" fontId="4" fillId="0" borderId="0" pivotButton="0" quotePrefix="0" xfId="0"/>
    <xf numFmtId="164" fontId="4" fillId="0" borderId="0" pivotButton="0" quotePrefix="0" xfId="0"/>
    <xf numFmtId="1" fontId="0" fillId="0" borderId="0" pivotButton="0" quotePrefix="0" xfId="0"/>
    <xf numFmtId="164" fontId="4" fillId="7" borderId="0" pivotButton="0" quotePrefix="0" xfId="0"/>
    <xf numFmtId="165" fontId="0" fillId="7" borderId="0" pivotButton="0" quotePrefix="0" xfId="0"/>
    <xf numFmtId="165" fontId="4" fillId="7" borderId="0" pivotButton="0" quotePrefix="0" xfId="0"/>
    <xf numFmtId="164" fontId="0" fillId="4" borderId="0" pivotButton="0" quotePrefix="0" xfId="0"/>
    <xf numFmtId="9" fontId="4" fillId="0" borderId="0" pivotButton="0" quotePrefix="0" xfId="0"/>
    <xf numFmtId="4" fontId="1" fillId="0" borderId="0" pivotButton="0" quotePrefix="0" xfId="0"/>
    <xf numFmtId="0" fontId="8" fillId="0" borderId="0" pivotButton="0" quotePrefix="0" xfId="0"/>
    <xf numFmtId="4" fontId="4" fillId="0" borderId="0" pivotButton="0" quotePrefix="0" xfId="0"/>
    <xf numFmtId="164" fontId="1" fillId="0" borderId="0" pivotButton="0" quotePrefix="0" xfId="0"/>
    <xf numFmtId="0" fontId="9" fillId="0" borderId="0" pivotButton="0" quotePrefix="0" xfId="0"/>
    <xf numFmtId="167" fontId="0" fillId="0" borderId="0" pivotButton="0" quotePrefix="0" xfId="0"/>
    <xf numFmtId="168" fontId="0" fillId="4" borderId="0" pivotButton="0" quotePrefix="0" xfId="0"/>
    <xf numFmtId="168" fontId="0" fillId="0" borderId="0" pivotButton="0" quotePrefix="0" xfId="0"/>
    <xf numFmtId="2" fontId="0" fillId="4" borderId="0" pivotButton="0" quotePrefix="0" xfId="0"/>
    <xf numFmtId="0" fontId="1" fillId="8" borderId="0" pivotButton="0" quotePrefix="0" xfId="0"/>
    <xf numFmtId="0" fontId="0" fillId="8" borderId="0" pivotButton="0" quotePrefix="0" xfId="0"/>
    <xf numFmtId="0" fontId="1" fillId="0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10" fillId="6" borderId="0" pivotButton="0" quotePrefix="0" xfId="0"/>
    <xf numFmtId="0" fontId="11" fillId="9" borderId="0" pivotButton="0" quotePrefix="0" xfId="0"/>
    <xf numFmtId="0" fontId="0" fillId="9" borderId="0" pivotButton="0" quotePrefix="0" xfId="0"/>
    <xf numFmtId="0" fontId="12" fillId="0" borderId="0" pivotButton="0" quotePrefix="0" xfId="0"/>
    <xf numFmtId="0" fontId="11" fillId="3" borderId="0" pivotButton="0" quotePrefix="0" xfId="0"/>
    <xf numFmtId="0" fontId="11" fillId="0" borderId="0" pivotButton="0" quotePrefix="0" xfId="0"/>
    <xf numFmtId="167" fontId="11" fillId="0" borderId="0" applyAlignment="1" pivotButton="0" quotePrefix="0" xfId="0">
      <alignment horizontal="center"/>
    </xf>
    <xf numFmtId="166" fontId="13" fillId="0" borderId="0" pivotButton="0" quotePrefix="0" xfId="0"/>
    <xf numFmtId="0" fontId="13" fillId="6" borderId="0" applyAlignment="1" pivotButton="0" quotePrefix="0" xfId="0">
      <alignment horizontal="center"/>
    </xf>
    <xf numFmtId="0" fontId="11" fillId="4" borderId="0" pivotButton="0" quotePrefix="0" xfId="0"/>
    <xf numFmtId="166" fontId="0" fillId="4" borderId="0" pivotButton="0" quotePrefix="0" xfId="0"/>
    <xf numFmtId="164" fontId="13" fillId="6" borderId="0" pivotButton="0" quotePrefix="0" xfId="0"/>
    <xf numFmtId="169" fontId="0" fillId="0" borderId="0" pivotButton="0" quotePrefix="0" xfId="0"/>
    <xf numFmtId="0" fontId="11" fillId="0" borderId="0" applyAlignment="1" pivotButton="0" quotePrefix="0" xfId="0">
      <alignment horizontal="center"/>
    </xf>
    <xf numFmtId="0" fontId="11" fillId="8" borderId="0" pivotButton="0" quotePrefix="0" xfId="0"/>
    <xf numFmtId="0" fontId="0" fillId="4" borderId="0" applyAlignment="1" pivotButton="0" quotePrefix="0" xfId="0">
      <alignment horizontal="center"/>
    </xf>
    <xf numFmtId="170" fontId="0" fillId="0" borderId="0" pivotButton="0" quotePrefix="0" xfId="0"/>
    <xf numFmtId="1" fontId="0" fillId="4" borderId="0" pivotButton="0" quotePrefix="0" xfId="0"/>
    <xf numFmtId="0" fontId="12" fillId="0" borderId="0" applyAlignment="1" pivotButton="0" quotePrefix="0" xfId="0">
      <alignment horizontal="center"/>
    </xf>
    <xf numFmtId="171" fontId="0" fillId="0" borderId="0" pivotButton="0" quotePrefix="0" xfId="0"/>
    <xf numFmtId="0" fontId="15" fillId="11" borderId="0" pivotButton="0" quotePrefix="0" xfId="0"/>
    <xf numFmtId="0" fontId="15" fillId="0" borderId="0" pivotButton="0" quotePrefix="0" xfId="0"/>
    <xf numFmtId="0" fontId="16" fillId="10" borderId="0" pivotButton="0" quotePrefix="0" xfId="0"/>
    <xf numFmtId="10" fontId="15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9" fillId="0" borderId="0" pivotButton="0" quotePrefix="0" xfId="0"/>
    <xf numFmtId="0" fontId="18" fillId="0" borderId="0" pivotButton="0" quotePrefix="0" xfId="0"/>
    <xf numFmtId="0" fontId="20" fillId="0" borderId="0" pivotButton="0" quotePrefix="0" xfId="0"/>
    <xf numFmtId="166" fontId="20" fillId="13" borderId="0" pivotButton="0" quotePrefix="0" xfId="0"/>
    <xf numFmtId="4" fontId="20" fillId="13" borderId="0" pivotButton="0" quotePrefix="0" xfId="0"/>
    <xf numFmtId="10" fontId="19" fillId="0" borderId="0" pivotButton="0" quotePrefix="0" xfId="0"/>
    <xf numFmtId="166" fontId="19" fillId="0" borderId="0" pivotButton="0" quotePrefix="0" xfId="0"/>
    <xf numFmtId="166" fontId="18" fillId="12" borderId="0" pivotButton="0" quotePrefix="0" xfId="0"/>
    <xf numFmtId="165" fontId="19" fillId="0" borderId="0" pivotButton="0" quotePrefix="0" xfId="0"/>
    <xf numFmtId="0" fontId="19" fillId="0" borderId="0" applyAlignment="1" pivotButton="0" quotePrefix="0" xfId="0">
      <alignment vertical="top" wrapText="1"/>
    </xf>
    <xf numFmtId="4" fontId="19" fillId="0" borderId="0" pivotButton="0" quotePrefix="0" xfId="0"/>
    <xf numFmtId="4" fontId="20" fillId="0" borderId="0" pivotButton="0" quotePrefix="0" xfId="0"/>
    <xf numFmtId="2" fontId="19" fillId="0" borderId="0" pivotButton="0" quotePrefix="0" xfId="0"/>
    <xf numFmtId="172" fontId="20" fillId="0" borderId="0" pivotButton="0" quotePrefix="0" xfId="0"/>
    <xf numFmtId="0" fontId="21" fillId="0" borderId="0" pivotButton="0" quotePrefix="0" xfId="0"/>
    <xf numFmtId="10" fontId="20" fillId="14" borderId="0" pivotButton="0" quotePrefix="0" xfId="0"/>
    <xf numFmtId="164" fontId="20" fillId="14" borderId="0" pivotButton="0" quotePrefix="0" xfId="0"/>
    <xf numFmtId="0" fontId="21" fillId="0" borderId="0" applyAlignment="1" pivotButton="0" quotePrefix="0" xfId="0">
      <alignment vertical="top" wrapText="1"/>
    </xf>
    <xf numFmtId="0" fontId="0" fillId="0" borderId="0" pivotButton="0" quotePrefix="0" xfId="0"/>
    <xf numFmtId="0" fontId="1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2" fillId="0" borderId="0" pivotButton="0" quotePrefix="0" xfId="0"/>
    <xf numFmtId="0" fontId="23" fillId="0" borderId="0" pivotButton="0" quotePrefix="0" xfId="0"/>
    <xf numFmtId="166" fontId="23" fillId="13" borderId="0" pivotButton="0" quotePrefix="0" xfId="0"/>
    <xf numFmtId="4" fontId="23" fillId="13" borderId="0" pivotButton="0" quotePrefix="0" xfId="0"/>
    <xf numFmtId="0" fontId="24" fillId="0" borderId="0" pivotButton="0" quotePrefix="0" xfId="0"/>
    <xf numFmtId="0" fontId="25" fillId="0" borderId="0" applyAlignment="1" pivotButton="0" quotePrefix="0" xfId="0">
      <alignment vertical="top" wrapText="1"/>
    </xf>
    <xf numFmtId="10" fontId="24" fillId="0" borderId="0" pivotButton="0" quotePrefix="0" xfId="0"/>
    <xf numFmtId="166" fontId="24" fillId="0" borderId="0" pivotButton="0" quotePrefix="0" xfId="0"/>
    <xf numFmtId="166" fontId="22" fillId="12" borderId="0" pivotButton="0" quotePrefix="0" xfId="0"/>
    <xf numFmtId="165" fontId="24" fillId="0" borderId="0" pivotButton="0" quotePrefix="0" xfId="0"/>
    <xf numFmtId="0" fontId="24" fillId="0" borderId="0" applyAlignment="1" pivotButton="0" quotePrefix="0" xfId="0">
      <alignment vertical="top" wrapText="1"/>
    </xf>
    <xf numFmtId="4" fontId="24" fillId="0" borderId="0" pivotButton="0" quotePrefix="0" xfId="0"/>
    <xf numFmtId="4" fontId="23" fillId="0" borderId="0" pivotButton="0" quotePrefix="0" xfId="0"/>
    <xf numFmtId="2" fontId="24" fillId="0" borderId="0" pivotButton="0" quotePrefix="0" xfId="0"/>
    <xf numFmtId="172" fontId="23" fillId="0" borderId="0" pivotButton="0" quotePrefix="0" xfId="0"/>
    <xf numFmtId="0" fontId="25" fillId="0" borderId="0" pivotButton="0" quotePrefix="0" xfId="0"/>
    <xf numFmtId="10" fontId="23" fillId="14" borderId="0" pivotButton="0" quotePrefix="0" xfId="0"/>
    <xf numFmtId="164" fontId="23" fillId="14" borderId="0" pivotButton="0" quotePrefix="0" xfId="0"/>
    <xf numFmtId="0" fontId="28" fillId="15" borderId="0" pivotButton="0" quotePrefix="0" xfId="0"/>
    <xf numFmtId="0" fontId="26" fillId="0" borderId="0" applyAlignment="1" pivotButton="0" quotePrefix="0" xfId="0">
      <alignment vertical="top" wrapText="1"/>
    </xf>
    <xf numFmtId="0" fontId="27" fillId="16" borderId="0" pivotButton="0" quotePrefix="0" xfId="0"/>
    <xf numFmtId="0" fontId="27" fillId="0" borderId="0" pivotButton="0" quotePrefix="0" xfId="0"/>
    <xf numFmtId="10" fontId="27" fillId="0" borderId="0" pivotButton="0" quotePrefix="0" xfId="0"/>
    <xf numFmtId="0" fontId="26" fillId="0" borderId="0" pivotButton="0" quotePrefix="0" xfId="0"/>
  </cellXfs>
  <cellStyles count="1">
    <cellStyle name="Normal" xfId="0" builtinId="0"/>
  </cellStyles>
  <dxfs count="4">
    <dxf>
      <font>
        <color rgb="FFC0392B"/>
      </font>
    </dxf>
    <dxf>
      <font>
        <color rgb="FF1B7F3B"/>
      </font>
    </dxf>
    <dxf>
      <font>
        <color rgb="001B7F3B"/>
      </font>
    </dxf>
    <dxf>
      <font>
        <color rgb="00C0392B"/>
      </font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zoomScale="150" zoomScaleNormal="15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K22" sqref="K22"/>
    </sheetView>
  </sheetViews>
  <sheetFormatPr baseColWidth="10" defaultColWidth="8.83203125" defaultRowHeight="15"/>
  <cols>
    <col width="48" customWidth="1" style="92" min="1" max="1"/>
    <col width="16" customWidth="1" style="92" min="2" max="11"/>
    <col width="12" customWidth="1" style="92" min="12" max="12"/>
    <col width="80" customWidth="1" style="92" min="13" max="13"/>
  </cols>
  <sheetData>
    <row r="1">
      <c r="A1" t="inlineStr">
        <is>
          <t>Company: Alphabet Inc. (GOOGL)</t>
        </is>
      </c>
    </row>
    <row r="2">
      <c r="A2" t="inlineStr">
        <is>
          <t>Statement: Consolidated Statements of Income</t>
        </is>
      </c>
    </row>
    <row r="3">
      <c r="A3" t="inlineStr">
        <is>
          <t>Units: USD in Millions</t>
        </is>
      </c>
    </row>
    <row r="4">
      <c r="A4" t="inlineStr">
        <is>
          <t>Source: SEC 10-K filings, as filed (acc. 0001652044-26-000018 / 0001652044-24-000022 / 0001652044-22-000019 / 0001652044-20-000008 / 0001652044-18-000007; each year from the newest filing covering it)</t>
        </is>
      </c>
    </row>
    <row r="5">
      <c r="A5" t="inlineStr">
        <is>
          <t>DEMO WORKBOOK: financial data as filed with the SEC (real); model inputs ILLUSTRATIVE ONLY — not analysis, not advice.</t>
        </is>
      </c>
    </row>
    <row r="6">
      <c r="A6" s="8" t="inlineStr">
        <is>
          <t>Line Item</t>
        </is>
      </c>
      <c r="B6" s="9" t="n">
        <v>42735</v>
      </c>
      <c r="C6" s="9" t="n">
        <v>43100</v>
      </c>
      <c r="D6" s="9" t="n">
        <v>43465</v>
      </c>
      <c r="E6" s="9" t="n">
        <v>43830</v>
      </c>
      <c r="F6" s="9" t="n">
        <v>44196</v>
      </c>
      <c r="G6" s="9" t="n">
        <v>44561</v>
      </c>
      <c r="H6" s="9" t="n">
        <v>44926</v>
      </c>
      <c r="I6" s="9" t="n">
        <v>45291</v>
      </c>
      <c r="J6" s="9" t="n">
        <v>45657</v>
      </c>
      <c r="K6" s="9" t="n">
        <v>46022</v>
      </c>
    </row>
    <row r="7">
      <c r="A7" s="8" t="inlineStr">
        <is>
          <t>Revenues</t>
        </is>
      </c>
      <c r="B7" s="10" t="n">
        <v>90272</v>
      </c>
      <c r="C7" s="10" t="n">
        <v>110855</v>
      </c>
      <c r="D7" s="10" t="n">
        <v>136819</v>
      </c>
      <c r="E7" s="10" t="n">
        <v>161857</v>
      </c>
      <c r="F7" s="10" t="n">
        <v>182527</v>
      </c>
      <c r="G7" s="10" t="n">
        <v>257637</v>
      </c>
      <c r="H7" s="10" t="n">
        <v>282836</v>
      </c>
      <c r="I7" s="10" t="n">
        <v>307394</v>
      </c>
      <c r="J7" s="10" t="n">
        <v>350018</v>
      </c>
      <c r="K7" s="10" t="n">
        <v>402836</v>
      </c>
    </row>
    <row r="8">
      <c r="A8" t="inlineStr">
        <is>
          <t>Cost of revenues</t>
        </is>
      </c>
      <c r="B8" s="4" t="n">
        <v>-35138</v>
      </c>
      <c r="C8" s="4" t="n">
        <v>-45583</v>
      </c>
      <c r="D8" s="4" t="n">
        <v>-59549</v>
      </c>
      <c r="E8" s="4" t="n">
        <v>-71896</v>
      </c>
      <c r="F8" s="4" t="n">
        <v>-84732</v>
      </c>
      <c r="G8" s="4" t="n">
        <v>-110939</v>
      </c>
      <c r="H8" s="4" t="n">
        <v>-126203</v>
      </c>
      <c r="I8" s="4" t="n">
        <v>-133332</v>
      </c>
      <c r="J8" s="4" t="n">
        <v>-146306</v>
      </c>
      <c r="K8" s="4" t="n">
        <v>-162535</v>
      </c>
    </row>
    <row r="9">
      <c r="A9" s="8" t="inlineStr">
        <is>
          <t>Gross profit</t>
        </is>
      </c>
      <c r="B9" s="10">
        <f>B7+B8</f>
        <v/>
      </c>
      <c r="C9" s="10">
        <f>C7+C8</f>
        <v/>
      </c>
      <c r="D9" s="10">
        <f>D7+D8</f>
        <v/>
      </c>
      <c r="E9" s="10">
        <f>E7+E8</f>
        <v/>
      </c>
      <c r="F9" s="10">
        <f>F7+F8</f>
        <v/>
      </c>
      <c r="G9" s="10">
        <f>G7+G8</f>
        <v/>
      </c>
      <c r="H9" s="10">
        <f>H7+H8</f>
        <v/>
      </c>
      <c r="I9" s="10">
        <f>I7+I8</f>
        <v/>
      </c>
      <c r="J9" s="10">
        <f>J7+J8</f>
        <v/>
      </c>
      <c r="K9" s="10">
        <f>K7+K8</f>
        <v/>
      </c>
    </row>
    <row r="10">
      <c r="A10" t="inlineStr">
        <is>
          <t>Research and development</t>
        </is>
      </c>
      <c r="B10" s="4" t="n">
        <v>-13948</v>
      </c>
      <c r="C10" s="4" t="n">
        <v>-16625</v>
      </c>
      <c r="D10" s="4" t="n">
        <v>-21419</v>
      </c>
      <c r="E10" s="4" t="n">
        <v>-26018</v>
      </c>
      <c r="F10" s="4" t="n">
        <v>-27573</v>
      </c>
      <c r="G10" s="4" t="n">
        <v>-31562</v>
      </c>
      <c r="H10" s="4" t="n">
        <v>-39500</v>
      </c>
      <c r="I10" s="4" t="n">
        <v>-45427</v>
      </c>
      <c r="J10" s="4" t="n">
        <v>-49326</v>
      </c>
      <c r="K10" s="4" t="n">
        <v>-61087</v>
      </c>
    </row>
    <row r="11">
      <c r="A11" t="inlineStr">
        <is>
          <t>Sales and marketing</t>
        </is>
      </c>
      <c r="B11" s="4" t="n">
        <v>-10485</v>
      </c>
      <c r="C11" s="4" t="n">
        <v>-12893</v>
      </c>
      <c r="D11" s="4" t="n">
        <v>-16333</v>
      </c>
      <c r="E11" s="4" t="n">
        <v>-18464</v>
      </c>
      <c r="F11" s="4" t="n">
        <v>-17946</v>
      </c>
      <c r="G11" s="4" t="n">
        <v>-22912</v>
      </c>
      <c r="H11" s="4" t="n">
        <v>-26567</v>
      </c>
      <c r="I11" s="4" t="n">
        <v>-27917</v>
      </c>
      <c r="J11" s="4" t="n">
        <v>-27808</v>
      </c>
      <c r="K11" s="4" t="n">
        <v>-28693</v>
      </c>
    </row>
    <row r="12">
      <c r="A12" t="inlineStr">
        <is>
          <t>General and administrative</t>
        </is>
      </c>
      <c r="B12" s="4" t="n">
        <v>-6985</v>
      </c>
      <c r="C12" s="4" t="n">
        <v>-6840</v>
      </c>
      <c r="D12" s="4" t="n">
        <v>-6923</v>
      </c>
      <c r="E12" s="4" t="n">
        <v>-9551</v>
      </c>
      <c r="F12" s="4" t="n">
        <v>-11052</v>
      </c>
      <c r="G12" s="4" t="n">
        <v>-13510</v>
      </c>
      <c r="H12" s="4" t="n">
        <v>-15724</v>
      </c>
      <c r="I12" s="4" t="n">
        <v>-16425</v>
      </c>
      <c r="J12" s="4" t="n">
        <v>-14188</v>
      </c>
      <c r="K12" s="4" t="n">
        <v>-21482</v>
      </c>
    </row>
    <row r="13">
      <c r="A13" t="inlineStr">
        <is>
          <t>European Commission fines</t>
        </is>
      </c>
      <c r="B13" s="4" t="n">
        <v>0</v>
      </c>
      <c r="C13" s="4" t="n">
        <v>-2736</v>
      </c>
      <c r="D13" s="4" t="n">
        <v>-5071</v>
      </c>
      <c r="E13" s="4" t="n">
        <v>-1697</v>
      </c>
      <c r="F13" s="4" t="n">
        <v>0</v>
      </c>
      <c r="G13" s="4" t="n"/>
      <c r="H13" s="4" t="n"/>
      <c r="I13" s="4" t="n"/>
      <c r="J13" s="4" t="n"/>
      <c r="K13" s="4" t="n"/>
    </row>
    <row r="14">
      <c r="A14" s="8" t="inlineStr">
        <is>
          <t>Total costs and expenses</t>
        </is>
      </c>
      <c r="B14" s="10" t="n">
        <v>-66556</v>
      </c>
      <c r="C14" s="10" t="n">
        <v>-84677</v>
      </c>
      <c r="D14" s="10" t="n">
        <v>-109295</v>
      </c>
      <c r="E14" s="10" t="n">
        <v>-127626</v>
      </c>
      <c r="F14" s="10" t="n">
        <v>-141303</v>
      </c>
      <c r="G14" s="10" t="n">
        <v>-178923</v>
      </c>
      <c r="H14" s="10" t="n">
        <v>-207994</v>
      </c>
      <c r="I14" s="10" t="n">
        <v>-223101</v>
      </c>
      <c r="J14" s="10" t="n">
        <v>-237628</v>
      </c>
      <c r="K14" s="10" t="n">
        <v>-273797</v>
      </c>
    </row>
    <row r="15">
      <c r="A15" s="8" t="inlineStr">
        <is>
          <t>Income from operations</t>
        </is>
      </c>
      <c r="B15" s="10" t="n">
        <v>23716</v>
      </c>
      <c r="C15" s="10" t="n">
        <v>26178</v>
      </c>
      <c r="D15" s="10" t="n">
        <v>27524</v>
      </c>
      <c r="E15" s="10" t="n">
        <v>34231</v>
      </c>
      <c r="F15" s="10" t="n">
        <v>41224</v>
      </c>
      <c r="G15" s="10" t="n">
        <v>78714</v>
      </c>
      <c r="H15" s="10" t="n">
        <v>74842</v>
      </c>
      <c r="I15" s="10" t="n">
        <v>84293</v>
      </c>
      <c r="J15" s="10" t="n">
        <v>112390</v>
      </c>
      <c r="K15" s="10" t="n">
        <v>129039</v>
      </c>
    </row>
    <row r="16">
      <c r="A16" t="inlineStr">
        <is>
          <t>Other income (expense), net</t>
        </is>
      </c>
      <c r="B16" s="4" t="n">
        <v>434</v>
      </c>
      <c r="C16" s="4" t="n">
        <v>1015</v>
      </c>
      <c r="D16" s="4" t="n">
        <v>7389</v>
      </c>
      <c r="E16" s="4" t="n">
        <v>5394</v>
      </c>
      <c r="F16" s="4" t="n">
        <v>6858</v>
      </c>
      <c r="G16" s="4" t="n">
        <v>12020</v>
      </c>
      <c r="H16" s="4" t="n">
        <v>-3514</v>
      </c>
      <c r="I16" s="4" t="n">
        <v>1424</v>
      </c>
      <c r="J16" s="4" t="n">
        <v>7425</v>
      </c>
      <c r="K16" s="4" t="n">
        <v>29787</v>
      </c>
    </row>
    <row r="17">
      <c r="A17" s="8" t="inlineStr">
        <is>
          <t>Income before income taxes</t>
        </is>
      </c>
      <c r="B17" s="10" t="n">
        <v>24150</v>
      </c>
      <c r="C17" s="10" t="n">
        <v>27193</v>
      </c>
      <c r="D17" s="10" t="n">
        <v>34913</v>
      </c>
      <c r="E17" s="10" t="n">
        <v>39625</v>
      </c>
      <c r="F17" s="10" t="n">
        <v>48082</v>
      </c>
      <c r="G17" s="10" t="n">
        <v>90734</v>
      </c>
      <c r="H17" s="10" t="n">
        <v>71328</v>
      </c>
      <c r="I17" s="10" t="n">
        <v>85717</v>
      </c>
      <c r="J17" s="10" t="n">
        <v>119815</v>
      </c>
      <c r="K17" s="10" t="n">
        <v>158826</v>
      </c>
    </row>
    <row r="18">
      <c r="A18" t="inlineStr">
        <is>
          <t>Provision for income taxes</t>
        </is>
      </c>
      <c r="B18" s="4" t="n">
        <v>-4672</v>
      </c>
      <c r="C18" s="4" t="n">
        <v>-14531</v>
      </c>
      <c r="D18" s="4" t="n">
        <v>-4177</v>
      </c>
      <c r="E18" s="4" t="n">
        <v>-5282</v>
      </c>
      <c r="F18" s="4" t="n">
        <v>-7813</v>
      </c>
      <c r="G18" s="4" t="n">
        <v>-14701</v>
      </c>
      <c r="H18" s="4" t="n">
        <v>-11356</v>
      </c>
      <c r="I18" s="4" t="n">
        <v>-11922</v>
      </c>
      <c r="J18" s="4" t="n">
        <v>-19697</v>
      </c>
      <c r="K18" s="4" t="n">
        <v>-26656</v>
      </c>
    </row>
    <row r="19">
      <c r="A19" s="8" t="inlineStr">
        <is>
          <t>Net income</t>
        </is>
      </c>
      <c r="B19" s="10" t="n">
        <v>19478</v>
      </c>
      <c r="C19" s="10" t="n">
        <v>12662</v>
      </c>
      <c r="D19" s="10" t="n">
        <v>30736</v>
      </c>
      <c r="E19" s="10" t="n">
        <v>34343</v>
      </c>
      <c r="F19" s="10" t="n">
        <v>40269</v>
      </c>
      <c r="G19" s="10" t="n">
        <v>76033</v>
      </c>
      <c r="H19" s="10" t="n">
        <v>59972</v>
      </c>
      <c r="I19" s="10" t="n">
        <v>73795</v>
      </c>
      <c r="J19" s="10" t="n">
        <v>100118</v>
      </c>
      <c r="K19" s="10" t="n">
        <v>132170</v>
      </c>
    </row>
    <row r="20"/>
    <row r="21">
      <c r="A21" t="inlineStr">
        <is>
          <t>Basic earnings per share</t>
        </is>
      </c>
      <c r="B21" s="3" t="n">
        <v>28.32</v>
      </c>
      <c r="C21" s="3" t="n">
        <v>18.27</v>
      </c>
      <c r="D21" s="3" t="n">
        <v>44.22</v>
      </c>
      <c r="E21" s="3" t="n">
        <v>49.59</v>
      </c>
      <c r="F21" s="3" t="n">
        <v>2.96</v>
      </c>
      <c r="G21" s="3" t="n">
        <v>5.69</v>
      </c>
      <c r="H21" s="3" t="n">
        <v>4.59</v>
      </c>
      <c r="I21" s="3" t="n">
        <v>5.84</v>
      </c>
      <c r="J21" s="3" t="n">
        <v>8.130000000000001</v>
      </c>
      <c r="K21" s="3" t="n">
        <v>10.91</v>
      </c>
    </row>
    <row r="22">
      <c r="A22" t="inlineStr">
        <is>
          <t>Diluted earnings per share</t>
        </is>
      </c>
      <c r="B22" s="3" t="n">
        <v>27.85</v>
      </c>
      <c r="C22" s="3" t="n">
        <v>18</v>
      </c>
      <c r="D22" s="3" t="n">
        <v>43.7</v>
      </c>
      <c r="E22" s="3" t="n">
        <v>49.16</v>
      </c>
      <c r="F22" s="3" t="n">
        <v>2.93</v>
      </c>
      <c r="G22" s="3" t="n">
        <v>5.61</v>
      </c>
      <c r="H22" s="3" t="n">
        <v>4.56</v>
      </c>
      <c r="I22" s="3" t="n">
        <v>5.8</v>
      </c>
      <c r="J22" s="3" t="n">
        <v>8.039999999999999</v>
      </c>
      <c r="K22" s="3" t="n">
        <v>10.81</v>
      </c>
    </row>
    <row r="23">
      <c r="A23" t="inlineStr">
        <is>
          <t>Basic shares outstanding (M, wtd avg)</t>
        </is>
      </c>
      <c r="B23" s="4" t="n"/>
      <c r="C23" s="4" t="n"/>
      <c r="D23" s="4" t="n"/>
      <c r="E23" s="4" t="n"/>
      <c r="F23" s="4" t="n"/>
      <c r="G23" s="4" t="n"/>
      <c r="H23" s="4" t="n">
        <v>13063</v>
      </c>
      <c r="I23" s="4" t="n">
        <v>12630</v>
      </c>
      <c r="J23" s="4" t="n">
        <v>12319</v>
      </c>
      <c r="K23" s="4" t="n">
        <v>12116</v>
      </c>
    </row>
    <row r="24">
      <c r="A24" t="inlineStr">
        <is>
          <t>Diluted shares outstanding (M, wtd avg)</t>
        </is>
      </c>
      <c r="B24" s="4" t="n"/>
      <c r="C24" s="4" t="n"/>
      <c r="D24" s="4" t="n"/>
      <c r="E24" s="4" t="n"/>
      <c r="F24" s="4" t="n"/>
      <c r="G24" s="4" t="n"/>
      <c r="H24" s="4" t="n">
        <v>13159</v>
      </c>
      <c r="I24" s="4" t="n">
        <v>12722</v>
      </c>
      <c r="J24" s="4" t="n">
        <v>12447</v>
      </c>
      <c r="K24" s="4" t="n">
        <v>12230</v>
      </c>
    </row>
    <row r="25"/>
    <row r="26">
      <c r="A26" s="11" t="inlineStr">
        <is>
          <t>Note: EPS and weighted-average shares as filed (newest filing wins): FY2016-FY2019 pre 20-for-1 split (Jul 2022); FY2020 onward split-adjusted. Pre-2022 share counts were class-dimensioned in XBRL and are omitted.</t>
        </is>
      </c>
    </row>
    <row r="27"/>
    <row r="28">
      <c r="A28" s="43" t="inlineStr">
        <is>
          <t>QUARTERLY (AS-FILED 10-Q; Q4 DERIVED)</t>
        </is>
      </c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</row>
    <row r="29">
      <c r="A29" s="11" t="inlineStr">
        <is>
          <t>As-filed 10-Q discrete quarters (annual sign conventions: expenses negative). Q4 derived: IS/CF = annual FY column − Σ(Q1–Q3); BS = fiscal year-end (10-K). EPS/share rows non-additive (no Q4).</t>
        </is>
      </c>
    </row>
    <row r="30"/>
    <row r="31">
      <c r="B31" s="45" t="inlineStr">
        <is>
          <t>Q1 2024</t>
        </is>
      </c>
      <c r="C31" s="45" t="inlineStr">
        <is>
          <t>Q2 2024</t>
        </is>
      </c>
      <c r="D31" s="45" t="inlineStr">
        <is>
          <t>Q3 2024</t>
        </is>
      </c>
      <c r="E31" s="45" t="inlineStr">
        <is>
          <t>Q4 2024</t>
        </is>
      </c>
      <c r="F31" s="45" t="inlineStr">
        <is>
          <t>Q1 2025</t>
        </is>
      </c>
      <c r="G31" s="45" t="inlineStr">
        <is>
          <t>Q2 2025</t>
        </is>
      </c>
      <c r="H31" s="45" t="inlineStr">
        <is>
          <t>Q3 2025</t>
        </is>
      </c>
      <c r="I31" s="45" t="inlineStr">
        <is>
          <t>Q4 2025</t>
        </is>
      </c>
      <c r="J31" s="45" t="inlineStr">
        <is>
          <t>Q1 2026</t>
        </is>
      </c>
    </row>
    <row r="32">
      <c r="A32" s="8" t="inlineStr">
        <is>
          <t>Line Item</t>
        </is>
      </c>
      <c r="B32" s="13" t="n">
        <v>45382</v>
      </c>
      <c r="C32" s="13" t="n">
        <v>45473</v>
      </c>
      <c r="D32" s="13" t="n">
        <v>45565</v>
      </c>
      <c r="E32" s="13" t="n">
        <v>45657</v>
      </c>
      <c r="F32" s="13" t="n">
        <v>45747</v>
      </c>
      <c r="G32" s="13" t="n">
        <v>45838</v>
      </c>
      <c r="H32" s="13" t="n">
        <v>45930</v>
      </c>
      <c r="I32" s="13" t="n">
        <v>46022</v>
      </c>
      <c r="J32" s="13" t="n">
        <v>46112</v>
      </c>
    </row>
    <row r="33"/>
    <row r="34">
      <c r="A34" s="8" t="inlineStr">
        <is>
          <t>Revenues</t>
        </is>
      </c>
      <c r="B34" s="10" t="n">
        <v>80539</v>
      </c>
      <c r="C34" s="10" t="n">
        <v>84742</v>
      </c>
      <c r="D34" s="10" t="n">
        <v>88268</v>
      </c>
      <c r="E34" s="10" t="n">
        <v>96469</v>
      </c>
      <c r="F34" s="10" t="n">
        <v>90234</v>
      </c>
      <c r="G34" s="10" t="n">
        <v>96428</v>
      </c>
      <c r="H34" s="10" t="n">
        <v>102346</v>
      </c>
      <c r="I34" s="10" t="n">
        <v>113828</v>
      </c>
      <c r="J34" s="10" t="n">
        <v>109896</v>
      </c>
    </row>
    <row r="35">
      <c r="A35" t="inlineStr">
        <is>
          <t>Cost of revenues</t>
        </is>
      </c>
      <c r="B35" s="4" t="n">
        <v>-33712</v>
      </c>
      <c r="C35" s="4" t="n">
        <v>-35507</v>
      </c>
      <c r="D35" s="4" t="n">
        <v>-36474</v>
      </c>
      <c r="E35" s="4" t="n">
        <v>-40613</v>
      </c>
      <c r="F35" s="4" t="n">
        <v>-36361</v>
      </c>
      <c r="G35" s="4" t="n">
        <v>-39039</v>
      </c>
      <c r="H35" s="4" t="n">
        <v>-41369</v>
      </c>
      <c r="I35" s="4" t="n">
        <v>-45766</v>
      </c>
      <c r="J35" s="4" t="n">
        <v>-41271</v>
      </c>
    </row>
    <row r="36">
      <c r="A36" s="8" t="inlineStr">
        <is>
          <t>Gross profit</t>
        </is>
      </c>
      <c r="B36" s="10">
        <f>B34+B35</f>
        <v/>
      </c>
      <c r="C36" s="10">
        <f>C34+C35</f>
        <v/>
      </c>
      <c r="D36" s="10">
        <f>D34+D35</f>
        <v/>
      </c>
      <c r="E36" s="10">
        <f>E34+E35</f>
        <v/>
      </c>
      <c r="F36" s="10">
        <f>F34+F35</f>
        <v/>
      </c>
      <c r="G36" s="10">
        <f>G34+G35</f>
        <v/>
      </c>
      <c r="H36" s="10">
        <f>H34+H35</f>
        <v/>
      </c>
      <c r="I36" s="10">
        <f>I34+I35</f>
        <v/>
      </c>
      <c r="J36" s="10">
        <f>J34+J35</f>
        <v/>
      </c>
    </row>
    <row r="37">
      <c r="A37" t="inlineStr">
        <is>
          <t>Research and development</t>
        </is>
      </c>
      <c r="B37" s="4" t="n">
        <v>-11903</v>
      </c>
      <c r="C37" s="4" t="n">
        <v>-11860</v>
      </c>
      <c r="D37" s="4" t="n">
        <v>-12447</v>
      </c>
      <c r="E37" s="4" t="n">
        <v>-13116</v>
      </c>
      <c r="F37" s="4" t="n">
        <v>-13556</v>
      </c>
      <c r="G37" s="4" t="n">
        <v>-13808</v>
      </c>
      <c r="H37" s="4" t="n">
        <v>-15151</v>
      </c>
      <c r="I37" s="4" t="n">
        <v>-18572</v>
      </c>
      <c r="J37" s="4" t="n">
        <v>-17032</v>
      </c>
    </row>
    <row r="38">
      <c r="A38" t="inlineStr">
        <is>
          <t>Sales and marketing</t>
        </is>
      </c>
      <c r="B38" s="4" t="n">
        <v>-6426</v>
      </c>
      <c r="C38" s="4" t="n">
        <v>-6792</v>
      </c>
      <c r="D38" s="4" t="n">
        <v>-7227</v>
      </c>
      <c r="E38" s="4" t="n">
        <v>-7363</v>
      </c>
      <c r="F38" s="4" t="n">
        <v>-6172</v>
      </c>
      <c r="G38" s="4" t="n">
        <v>-7101</v>
      </c>
      <c r="H38" s="4" t="n">
        <v>-7205</v>
      </c>
      <c r="I38" s="4" t="n">
        <v>-8215</v>
      </c>
      <c r="J38" s="4" t="n">
        <v>-7606</v>
      </c>
    </row>
    <row r="39">
      <c r="A39" t="inlineStr">
        <is>
          <t>General and administrative</t>
        </is>
      </c>
      <c r="B39" s="4" t="n">
        <v>-3026</v>
      </c>
      <c r="C39" s="4" t="n">
        <v>-3158</v>
      </c>
      <c r="D39" s="4" t="n">
        <v>-3599</v>
      </c>
      <c r="E39" s="4" t="n">
        <v>-4405</v>
      </c>
      <c r="F39" s="4" t="n">
        <v>-3539</v>
      </c>
      <c r="G39" s="4" t="n">
        <v>-5209</v>
      </c>
      <c r="H39" s="4" t="n">
        <v>-7393</v>
      </c>
      <c r="I39" s="4" t="n">
        <v>-5341</v>
      </c>
      <c r="J39" s="4" t="n">
        <v>-4291</v>
      </c>
    </row>
    <row r="40">
      <c r="A40" t="inlineStr">
        <is>
          <t>European Commission fines</t>
        </is>
      </c>
    </row>
    <row r="41">
      <c r="A41" s="8" t="inlineStr">
        <is>
          <t>Total costs and expenses</t>
        </is>
      </c>
      <c r="B41" s="10" t="n">
        <v>-55067</v>
      </c>
      <c r="C41" s="10" t="n">
        <v>-57317</v>
      </c>
      <c r="D41" s="10" t="n">
        <v>-59747</v>
      </c>
      <c r="E41" s="10" t="n">
        <v>-65497</v>
      </c>
      <c r="F41" s="10" t="n">
        <v>-59628</v>
      </c>
      <c r="G41" s="10" t="n">
        <v>-65157</v>
      </c>
      <c r="H41" s="10" t="n">
        <v>-71118</v>
      </c>
      <c r="I41" s="10" t="n">
        <v>-77894</v>
      </c>
      <c r="J41" s="10" t="n">
        <v>-70200</v>
      </c>
    </row>
    <row r="42">
      <c r="A42" s="8" t="inlineStr">
        <is>
          <t>Income from operations</t>
        </is>
      </c>
      <c r="B42" s="10" t="n">
        <v>25472</v>
      </c>
      <c r="C42" s="10" t="n">
        <v>27425</v>
      </c>
      <c r="D42" s="10" t="n">
        <v>28521</v>
      </c>
      <c r="E42" s="10" t="n">
        <v>30972</v>
      </c>
      <c r="F42" s="10" t="n">
        <v>30606</v>
      </c>
      <c r="G42" s="10" t="n">
        <v>31271</v>
      </c>
      <c r="H42" s="10" t="n">
        <v>31228</v>
      </c>
      <c r="I42" s="10" t="n">
        <v>35934</v>
      </c>
      <c r="J42" s="10" t="n">
        <v>39696</v>
      </c>
    </row>
    <row r="43">
      <c r="A43" t="inlineStr">
        <is>
          <t>Other income (expense), net</t>
        </is>
      </c>
      <c r="B43" s="4" t="n">
        <v>2843</v>
      </c>
      <c r="C43" s="4" t="n">
        <v>126</v>
      </c>
      <c r="D43" s="4" t="n">
        <v>3185</v>
      </c>
      <c r="E43" s="4" t="n">
        <v>1271</v>
      </c>
      <c r="F43" s="4" t="n">
        <v>11183</v>
      </c>
      <c r="G43" s="4" t="n">
        <v>2662</v>
      </c>
      <c r="H43" s="4" t="n">
        <v>12759</v>
      </c>
      <c r="I43" s="4" t="n">
        <v>3183</v>
      </c>
      <c r="J43" s="4" t="n">
        <v>37716</v>
      </c>
    </row>
    <row r="44">
      <c r="A44" s="8" t="inlineStr">
        <is>
          <t>Income before income taxes</t>
        </is>
      </c>
      <c r="B44" s="10" t="n">
        <v>28315</v>
      </c>
      <c r="C44" s="10" t="n">
        <v>27551</v>
      </c>
      <c r="D44" s="10" t="n">
        <v>31706</v>
      </c>
      <c r="E44" s="10" t="n">
        <v>32243</v>
      </c>
      <c r="F44" s="10" t="n">
        <v>41789</v>
      </c>
      <c r="G44" s="10" t="n">
        <v>33933</v>
      </c>
      <c r="H44" s="10" t="n">
        <v>43987</v>
      </c>
      <c r="I44" s="10" t="n">
        <v>39117</v>
      </c>
      <c r="J44" s="10" t="n">
        <v>77412</v>
      </c>
    </row>
    <row r="45">
      <c r="A45" t="inlineStr">
        <is>
          <t>Provision for income taxes</t>
        </is>
      </c>
      <c r="B45" s="4" t="n">
        <v>-4653</v>
      </c>
      <c r="C45" s="4" t="n">
        <v>-3932</v>
      </c>
      <c r="D45" s="4" t="n">
        <v>-5405</v>
      </c>
      <c r="E45" s="4" t="n">
        <v>-5707</v>
      </c>
      <c r="F45" s="4" t="n">
        <v>-7249</v>
      </c>
      <c r="G45" s="4" t="n">
        <v>-5737</v>
      </c>
      <c r="H45" s="4" t="n">
        <v>-9008</v>
      </c>
      <c r="I45" s="4" t="n">
        <v>-4662</v>
      </c>
      <c r="J45" s="4" t="n">
        <v>-14834</v>
      </c>
    </row>
    <row r="46">
      <c r="A46" s="8" t="inlineStr">
        <is>
          <t>Net income</t>
        </is>
      </c>
      <c r="B46" s="10" t="n">
        <v>23662</v>
      </c>
      <c r="C46" s="10" t="n">
        <v>23619</v>
      </c>
      <c r="D46" s="10" t="n">
        <v>26301</v>
      </c>
      <c r="E46" s="10" t="n">
        <v>26536</v>
      </c>
      <c r="F46" s="10" t="n">
        <v>34540</v>
      </c>
      <c r="G46" s="10" t="n">
        <v>28196</v>
      </c>
      <c r="H46" s="10" t="n">
        <v>34979</v>
      </c>
      <c r="I46" s="10" t="n">
        <v>34455</v>
      </c>
      <c r="J46" s="10" t="n">
        <v>62578</v>
      </c>
    </row>
    <row r="47"/>
    <row r="48">
      <c r="A48" t="inlineStr">
        <is>
          <t>Basic earnings per share</t>
        </is>
      </c>
      <c r="B48" s="3" t="n">
        <v>1.91</v>
      </c>
      <c r="C48" s="3" t="n">
        <v>1.91</v>
      </c>
      <c r="D48" s="3" t="n">
        <v>2.14</v>
      </c>
      <c r="F48" s="3" t="n">
        <v>2.84</v>
      </c>
      <c r="G48" s="3" t="n">
        <v>2.33</v>
      </c>
      <c r="H48" s="3" t="n">
        <v>2.89</v>
      </c>
      <c r="J48" s="3" t="n">
        <v>5.17</v>
      </c>
    </row>
    <row r="49">
      <c r="A49" t="inlineStr">
        <is>
          <t>Diluted earnings per share</t>
        </is>
      </c>
      <c r="B49" s="3" t="n">
        <v>1.89</v>
      </c>
      <c r="C49" s="3" t="n">
        <v>1.89</v>
      </c>
      <c r="D49" s="3" t="n">
        <v>2.12</v>
      </c>
      <c r="F49" s="3" t="n">
        <v>2.81</v>
      </c>
      <c r="G49" s="3" t="n">
        <v>2.31</v>
      </c>
      <c r="H49" s="3" t="n">
        <v>2.87</v>
      </c>
      <c r="J49" s="3" t="n">
        <v>5.11</v>
      </c>
    </row>
    <row r="50">
      <c r="A50" t="inlineStr">
        <is>
          <t>Basic shares outstanding (M, wtd avg)</t>
        </is>
      </c>
      <c r="B50" s="4" t="n">
        <v>12415</v>
      </c>
      <c r="C50" s="4" t="n">
        <v>12343</v>
      </c>
      <c r="D50" s="4" t="n">
        <v>12290</v>
      </c>
      <c r="F50" s="4" t="n">
        <v>12183</v>
      </c>
      <c r="G50" s="4" t="n">
        <v>12122</v>
      </c>
      <c r="H50" s="4" t="n">
        <v>12086</v>
      </c>
      <c r="J50" s="4" t="n">
        <v>12099</v>
      </c>
    </row>
    <row r="51">
      <c r="A51" t="inlineStr">
        <is>
          <t>Diluted shares outstanding (M, wtd avg)</t>
        </is>
      </c>
      <c r="B51" s="4" t="n">
        <v>12527</v>
      </c>
      <c r="C51" s="4" t="n">
        <v>12495</v>
      </c>
      <c r="D51" s="4" t="n">
        <v>12419</v>
      </c>
      <c r="F51" s="4" t="n">
        <v>12291</v>
      </c>
      <c r="G51" s="4" t="n">
        <v>12198</v>
      </c>
      <c r="H51" s="4" t="n">
        <v>12203</v>
      </c>
      <c r="J51" s="4" t="n">
        <v>12238</v>
      </c>
    </row>
    <row r="52"/>
    <row r="53">
      <c r="A53" s="11" t="inlineStr">
        <is>
          <t>Source 10-Qs: Q1 2024 0001652044-24-000053; Q2 2024 0001652044-24-000079; Q3 2024 0001652044-24-000118; Q1 2025 0001652044-25-000043; Q2 2025 0001652044-25-000062; Q3 2025 0001652044-25-000091; Q1 2026 0001652044-26-000048</t>
        </is>
      </c>
    </row>
    <row r="54"/>
    <row r="55">
      <c r="A55" s="49" t="inlineStr">
        <is>
          <t>CORE EARNINGS BRIDGE (NON-RECURRING ITEMS STRIPPED)</t>
        </is>
      </c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</row>
    <row r="56">
      <c r="A56" s="51" t="inlineStr">
        <is>
          <t>Items identified from public filings (source + evidence quote + confidence in the notes column). Toggle 'x' = strip from core. Amounts are PRETAX effects at as-filed sign (charge negative). Tax on adjustments defaults to the year's effective rate (blue row - editable). Core NOPAT uses the model's definition (NI + after-tax net interest).</t>
        </is>
      </c>
    </row>
    <row r="57"/>
    <row r="58">
      <c r="A58" s="52" t="inlineStr">
        <is>
          <t>ANNUAL</t>
        </is>
      </c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</row>
    <row r="59">
      <c r="A59" s="53" t="inlineStr">
        <is>
          <t>Line Item</t>
        </is>
      </c>
      <c r="B59" s="54">
        <f>'Income Statement'!B6</f>
        <v/>
      </c>
      <c r="C59" s="54">
        <f>'Income Statement'!C6</f>
        <v/>
      </c>
      <c r="D59" s="54">
        <f>'Income Statement'!D6</f>
        <v/>
      </c>
      <c r="E59" s="54">
        <f>'Income Statement'!E6</f>
        <v/>
      </c>
      <c r="F59" s="54">
        <f>'Income Statement'!F6</f>
        <v/>
      </c>
      <c r="G59" s="54">
        <f>'Income Statement'!G6</f>
        <v/>
      </c>
      <c r="H59" s="54">
        <f>'Income Statement'!H6</f>
        <v/>
      </c>
      <c r="I59" s="54">
        <f>'Income Statement'!I6</f>
        <v/>
      </c>
      <c r="J59" s="54">
        <f>'Income Statement'!J6</f>
        <v/>
      </c>
      <c r="K59" s="54">
        <f>'Income Statement'!K6</f>
        <v/>
      </c>
      <c r="L59" s="53" t="inlineStr">
        <is>
          <t>Include? (x)</t>
        </is>
      </c>
      <c r="M59" s="53" t="inlineStr">
        <is>
          <t>Source / evidence</t>
        </is>
      </c>
    </row>
    <row r="60">
      <c r="A60" t="inlineStr">
        <is>
          <t>Reported pretax income</t>
        </is>
      </c>
      <c r="B60" s="4">
        <f>'Income Statement'!B17</f>
        <v/>
      </c>
      <c r="C60" s="4">
        <f>'Income Statement'!C17</f>
        <v/>
      </c>
      <c r="D60" s="4">
        <f>'Income Statement'!D17</f>
        <v/>
      </c>
      <c r="E60" s="4">
        <f>'Income Statement'!E17</f>
        <v/>
      </c>
      <c r="F60" s="4">
        <f>'Income Statement'!F17</f>
        <v/>
      </c>
      <c r="G60" s="4">
        <f>'Income Statement'!G17</f>
        <v/>
      </c>
      <c r="H60" s="4">
        <f>'Income Statement'!H17</f>
        <v/>
      </c>
      <c r="I60" s="4">
        <f>'Income Statement'!I17</f>
        <v/>
      </c>
      <c r="J60" s="4">
        <f>'Income Statement'!J17</f>
        <v/>
      </c>
      <c r="K60" s="4">
        <f>'Income Statement'!K17</f>
        <v/>
      </c>
    </row>
    <row r="61">
      <c r="A61" t="inlineStr">
        <is>
          <t>FY2016: Loss on marketable securities, net (pre-ASU 2016-01 presentation) [Other income (expense), net]</t>
        </is>
      </c>
      <c r="B61" s="55" t="n">
        <v>-210</v>
      </c>
      <c r="L61" s="56" t="inlineStr">
        <is>
          <t>x</t>
        </is>
      </c>
      <c r="M61" s="51" t="inlineStr">
        <is>
          <t>[disclosed] 10-K 0001652044-17-000008, Note 5 OI&amp;E components — OI&amp;E note FY2016: 'Gain (loss) on marketable securities, net (210)'.</t>
        </is>
      </c>
    </row>
    <row r="62">
      <c r="A62" t="inlineStr">
        <is>
          <t>FY2016: Loss on non-marketable investments, net (pre-ASU 2016-01 presentation) [Other income (expense), net]</t>
        </is>
      </c>
      <c r="B62" s="55" t="n">
        <v>-65</v>
      </c>
      <c r="L62" s="56" t="inlineStr">
        <is>
          <t>x</t>
        </is>
      </c>
      <c r="M62" s="51" t="inlineStr">
        <is>
          <t>[disclosed] 10-K 0001652044-17-000008, Note 5 OI&amp;E components — OI&amp;E note FY2016: 'Gain (loss) on non-marketable investments, net (65)'.</t>
        </is>
      </c>
    </row>
    <row r="63">
      <c r="A63" t="inlineStr">
        <is>
          <t>FY2016: No discrete non-recurring operating items identified [Revenues]</t>
        </is>
      </c>
      <c r="B63" s="55" t="n">
        <v>0</v>
      </c>
      <c r="L63" s="56" t="n"/>
      <c r="M63" s="51" t="inlineStr">
        <is>
          <t>[disclosed] 10-K 0001652044-17-000008 (FY2016), MD&amp;A + Notes review — No EC fines, restructuring, impairment, or separately disclosed legal settlements &gt;$200M in the FY2016 10-K.</t>
        </is>
      </c>
    </row>
    <row r="64">
      <c r="A64" t="inlineStr">
        <is>
          <t>FY2017: European Commission fine (Shopping, June 2017, EUR 2.4B) [European Commission fines]</t>
        </is>
      </c>
      <c r="C64" s="55" t="n">
        <v>-2736</v>
      </c>
      <c r="L64" s="56" t="inlineStr">
        <is>
          <t>x</t>
        </is>
      </c>
      <c r="M64" s="51" t="inlineStr">
        <is>
          <t>[disclosed] 10-K 0001652044-18-000007, Consolidated Statements of Income + MD&amp;A 'European Commission Fine' — FY2017 income statement carries separate line 'European Commission fine 2,736'; MD&amp;A: fine of EUR 2.4 billion (</t>
        </is>
      </c>
    </row>
    <row r="65">
      <c r="A65" t="inlineStr">
        <is>
          <t>FY2017: Loss on marketable securities, net (pre-ASU 2016-01 presentation) [Other income (expense), net]</t>
        </is>
      </c>
      <c r="C65" s="55" t="n">
        <v>-80</v>
      </c>
      <c r="L65" s="56" t="inlineStr">
        <is>
          <t>x</t>
        </is>
      </c>
      <c r="M65" s="51" t="inlineStr">
        <is>
          <t>[disclosed] 10-K 0001652044-18-000007, OI&amp;E note — OI&amp;E note FY2017: 'Loss on marketable securities, net (80)'.</t>
        </is>
      </c>
    </row>
    <row r="66">
      <c r="A66" t="inlineStr">
        <is>
          <t>FY2017: Loss on non-marketable investments, net (pre-ASU 2016-01 presentation) [Other income (expense), net]</t>
        </is>
      </c>
      <c r="C66" s="55" t="n">
        <v>-114</v>
      </c>
      <c r="L66" s="56" t="inlineStr">
        <is>
          <t>x</t>
        </is>
      </c>
      <c r="M66" s="51" t="inlineStr">
        <is>
          <t>[disclosed] 10-K 0001652044-18-000007, OI&amp;E note — OI&amp;E note FY2017: 'Loss on non-marketable investments, net (114)'.</t>
        </is>
      </c>
    </row>
    <row r="67">
      <c r="A67" t="inlineStr">
        <is>
          <t>FY2018: European Commission fine (Android, July 2018, EUR 4.3B) [European Commission fines]</t>
        </is>
      </c>
      <c r="D67" s="55" t="n">
        <v>-5071</v>
      </c>
      <c r="L67" s="56" t="inlineStr">
        <is>
          <t>x</t>
        </is>
      </c>
      <c r="M67" s="51" t="inlineStr">
        <is>
          <t>[disclosed] 10-K 0001652044-19-000004, Consolidated Statements of Income + MD&amp;A 'European Commission Fines' — FY2018 income statement line 'European Commission fines ... 2,736 / 5,071'; MD&amp;A: EUR 4.3 billion ($5.1 billio</t>
        </is>
      </c>
    </row>
    <row r="68">
      <c r="A68" t="inlineStr">
        <is>
          <t>FY2018: Gain on debt securities, net (incl. $1.3B one-time modification gain) [Other income (expense), net]</t>
        </is>
      </c>
      <c r="D68" s="55" t="n">
        <v>1190</v>
      </c>
      <c r="L68" s="56" t="inlineStr">
        <is>
          <t>x</t>
        </is>
      </c>
      <c r="M68" s="51" t="inlineStr">
        <is>
          <t>[disclosed] 10-K 0001652044-19-000004, OI&amp;E note footnote 3 — 'During the year ended December 31, 2018, the terms of a non-marketable debt security were modified resulting in an unrealized $1.3 billion gain.'</t>
        </is>
      </c>
    </row>
    <row r="69">
      <c r="A69" t="inlineStr">
        <is>
          <t>FY2018: Gain on equity securities, net (ASU 2016-01 first effective year) [Other income (expense), net]</t>
        </is>
      </c>
      <c r="D69" s="55" t="n">
        <v>5460</v>
      </c>
      <c r="L69" s="56" t="inlineStr">
        <is>
          <t>x</t>
        </is>
      </c>
      <c r="M69" s="51" t="inlineStr">
        <is>
          <t>[disclosed] 10-K 0001652044-19-000004, OI&amp;E note — OI&amp;E note: 'Gain (loss) on equity securities, net ... 5,460' for 2018.</t>
        </is>
      </c>
    </row>
    <row r="70">
      <c r="A70" t="inlineStr">
        <is>
          <t>FY2018: Legal settlement gain in G&amp;A (amount not disclosed) [General and administrative]</t>
        </is>
      </c>
      <c r="L70" s="56" t="n"/>
      <c r="M70" s="51" t="inlineStr">
        <is>
          <t>[uncertain] 10-K 0001652044-20-000008 (FY2019), MD&amp;A G&amp;A discussion — FY2019 MD&amp;A: G&amp;A increase 'including a charge of $554 million from a legal settlement in 2019 and the effect of a legal settlement gain recorded in 20</t>
        </is>
      </c>
    </row>
    <row r="71">
      <c r="A71" t="inlineStr">
        <is>
          <t>FY2018: Performance fees (tied to equity securities gains) [Other income (expense), net]</t>
        </is>
      </c>
      <c r="D71" s="55" t="n">
        <v>-1203</v>
      </c>
      <c r="L71" s="56" t="inlineStr">
        <is>
          <t>x</t>
        </is>
      </c>
      <c r="M71" s="51" t="inlineStr">
        <is>
          <t>[disclosed] 10-K 0001652044-20-000008 (FY2019), OI&amp;E note footnote 4 — 'Performance fees were reclassified for prior periods from general and administrative expenses to other income (expense), net to conform with current</t>
        </is>
      </c>
    </row>
    <row r="72">
      <c r="A72" t="inlineStr">
        <is>
          <t>FY2019: European Commission fine (AdSense for Search, March 2019, EUR 1.5B) [European Commission fines]</t>
        </is>
      </c>
      <c r="E72" s="55" t="n">
        <v>-1697</v>
      </c>
      <c r="L72" s="56" t="inlineStr">
        <is>
          <t>x</t>
        </is>
      </c>
      <c r="M72" s="51" t="inlineStr">
        <is>
          <t>[disclosed] 10-K 0001652044-20-000008, Consolidated Statements of Income + MD&amp;A 'European Commission Fines' — FY2019 income statement line 'European Commission fines ... 5,071 / 1,697'; MD&amp;A: EUR 1.5 billion ($1.7 billio</t>
        </is>
      </c>
    </row>
    <row r="73">
      <c r="A73" t="inlineStr">
        <is>
          <t>FY2019: Gain on debt securities, net [Other income (expense), net]</t>
        </is>
      </c>
      <c r="E73" s="55" t="n">
        <v>149</v>
      </c>
      <c r="L73" s="56" t="inlineStr">
        <is>
          <t>x</t>
        </is>
      </c>
      <c r="M73" s="51" t="inlineStr">
        <is>
          <t>[disclosed] 10-K 0001652044-20-000008, OI&amp;E note — OI&amp;E note 2019: 'Gain (loss) on debt securities, net ... 149'.</t>
        </is>
      </c>
    </row>
    <row r="74">
      <c r="A74" t="inlineStr">
        <is>
          <t>FY2019: Gain on equity securities, net [Other income (expense), net]</t>
        </is>
      </c>
      <c r="E74" s="55" t="n">
        <v>2649</v>
      </c>
      <c r="L74" s="56" t="inlineStr">
        <is>
          <t>x</t>
        </is>
      </c>
      <c r="M74" s="51" t="inlineStr">
        <is>
          <t>[disclosed] 10-K 0001652044-20-000008, OI&amp;E note — OI&amp;E note 2019: 'Gain (loss) on equity securities, net ... 2,649'.</t>
        </is>
      </c>
    </row>
    <row r="75">
      <c r="A75" t="inlineStr">
        <is>
          <t>FY2019: Legal settlement charge in G&amp;A [General and administrative]</t>
        </is>
      </c>
      <c r="E75" s="55" t="n">
        <v>-554</v>
      </c>
      <c r="L75" s="56" t="inlineStr">
        <is>
          <t>x</t>
        </is>
      </c>
      <c r="M75" s="51" t="inlineStr">
        <is>
          <t>[disclosed] 10-K 0001652044-21-000010 (FY2020) and 0001652044-20-000008 (FY2019), MD&amp;A G&amp;A discussions — 'The increase was partially offset by a $554 million charge recognized in 2019 relating to a legal settlement.' (FY</t>
        </is>
      </c>
    </row>
    <row r="76">
      <c r="A76" t="inlineStr">
        <is>
          <t>FY2019: Performance fees [Other income (expense), net]</t>
        </is>
      </c>
      <c r="E76" s="55" t="n">
        <v>-326</v>
      </c>
      <c r="L76" s="56" t="inlineStr">
        <is>
          <t>x</t>
        </is>
      </c>
      <c r="M76" s="51" t="inlineStr">
        <is>
          <t>[disclosed] 10-K 0001652044-20-000008, OI&amp;E note — OI&amp;E note 2019: 'Performance fees ... (326)'.</t>
        </is>
      </c>
    </row>
    <row r="77">
      <c r="A77" t="inlineStr">
        <is>
          <t>FY2020: Gain on debt securities, net [Other income (expense), net]</t>
        </is>
      </c>
      <c r="F77" s="55" t="n">
        <v>725</v>
      </c>
      <c r="L77" s="56" t="inlineStr">
        <is>
          <t>x</t>
        </is>
      </c>
      <c r="M77" s="51" t="inlineStr">
        <is>
          <t>[disclosed] 10-K 0001652044-21-000010, OI&amp;E note — OI&amp;E note 2020: 'Gain (loss) on debt securities, net ... 725'.</t>
        </is>
      </c>
    </row>
    <row r="78">
      <c r="A78" t="inlineStr">
        <is>
          <t>FY2020: Gain on equity securities, net [Other income (expense), net]</t>
        </is>
      </c>
      <c r="F78" s="55" t="n">
        <v>5592</v>
      </c>
      <c r="L78" s="56" t="inlineStr">
        <is>
          <t>x</t>
        </is>
      </c>
      <c r="M78" s="51" t="inlineStr">
        <is>
          <t>[disclosed] 10-K 0001652044-21-000010, OI&amp;E note — OI&amp;E note 2020: 'Gain (loss) on equity securities, net ... 5,592'.</t>
        </is>
      </c>
    </row>
    <row r="79">
      <c r="A79" t="inlineStr">
        <is>
          <t>FY2020: Losses on derivatives hedging marketable equity securities (in OI&amp;E 'Other') [Other income (expense), net]</t>
        </is>
      </c>
      <c r="F79" s="55" t="n">
        <v>-902</v>
      </c>
      <c r="L79" s="56" t="inlineStr">
        <is>
          <t>x</t>
        </is>
      </c>
      <c r="M79" s="51" t="inlineStr">
        <is>
          <t>[disclosed] 10-K 0001652044-21-000010, OI&amp;E note footnote 4 — 'During the year ended December 31, 2020, we entered into derivatives that hedged the changes in fair value of certain marketable equity securities, which res</t>
        </is>
      </c>
    </row>
    <row r="80">
      <c r="A80" t="inlineStr">
        <is>
          <t>FY2020: No discrete non-recurring operating items identified [Revenues]</t>
        </is>
      </c>
      <c r="F80" s="55" t="n">
        <v>0</v>
      </c>
      <c r="L80" s="56" t="n"/>
      <c r="M80" s="51" t="inlineStr">
        <is>
          <t>[disclosed] 10-K 0001652044-21-000010, MD&amp;A + Notes review — No EC fine charges (IS line 0), no restructuring, no separately disclosed legal settlement &gt;$200M in FY2020.</t>
        </is>
      </c>
    </row>
    <row r="81">
      <c r="A81" t="inlineStr">
        <is>
          <t>FY2020: Performance fees [Other income (expense), net]</t>
        </is>
      </c>
      <c r="F81" s="55" t="n">
        <v>-609</v>
      </c>
      <c r="L81" s="56" t="inlineStr">
        <is>
          <t>x</t>
        </is>
      </c>
      <c r="M81" s="51" t="inlineStr">
        <is>
          <t>[disclosed] 10-K 0001652044-21-000010, OI&amp;E note — OI&amp;E note 2020: 'Performance fees ... (609)'.</t>
        </is>
      </c>
    </row>
    <row r="82">
      <c r="A82" t="inlineStr">
        <is>
          <t>FY2021: Gain on equity securities, net [Other income (expense), net]</t>
        </is>
      </c>
      <c r="G82" s="55" t="n">
        <v>12380</v>
      </c>
      <c r="L82" s="56" t="inlineStr">
        <is>
          <t>x</t>
        </is>
      </c>
      <c r="M82" s="51" t="inlineStr">
        <is>
          <t>[disclosed] 10-K 0001652044-22-000019, OI&amp;E note — OI&amp;E note 2021: 'Gain (loss) on equity securities, net ... 12,380'.</t>
        </is>
      </c>
    </row>
    <row r="83">
      <c r="A83" t="inlineStr">
        <is>
          <t>FY2021: Loss on debt securities, net [Other income (expense), net]</t>
        </is>
      </c>
      <c r="G83" s="55" t="n">
        <v>-110</v>
      </c>
      <c r="L83" s="56" t="inlineStr">
        <is>
          <t>x</t>
        </is>
      </c>
      <c r="M83" s="51" t="inlineStr">
        <is>
          <t>[disclosed] 10-K 0001652044-22-000019, OI&amp;E note — OI&amp;E note 2021: 'Gain (loss) on debt securities, net ... (110)'.</t>
        </is>
      </c>
    </row>
    <row r="84">
      <c r="A84" t="inlineStr">
        <is>
          <t>FY2021: Performance fees [Other income (expense), net]</t>
        </is>
      </c>
      <c r="G84" s="55" t="n">
        <v>-1908</v>
      </c>
      <c r="L84" s="56" t="inlineStr">
        <is>
          <t>x</t>
        </is>
      </c>
      <c r="M84" s="51" t="inlineStr">
        <is>
          <t>[disclosed] 10-K 0001652044-22-000019, OI&amp;E note — OI&amp;E note 2021: 'Performance fees ... (1,908)'.</t>
        </is>
      </c>
    </row>
    <row r="85">
      <c r="A85" t="inlineStr">
        <is>
          <t>FY2022: European Commission fine reduction (Android fine cut to EUR 4.1B by General Court) [General and administrative]</t>
        </is>
      </c>
      <c r="H85" s="55" t="n">
        <v>217</v>
      </c>
      <c r="L85" s="56" t="inlineStr">
        <is>
          <t>x</t>
        </is>
      </c>
      <c r="M85" s="51" t="inlineStr">
        <is>
          <t>[disclosed] 10-K 0001652044-23-000016 MD&amp;A; placement per 10-Q 0001652044-22-000090 (Q3 2022) MD&amp;A G&amp;A discussion — 'In 2018 we recognized a charge of $5.1 billion for the fine, which we reduced by $217 million in 2022.'</t>
        </is>
      </c>
    </row>
    <row r="86">
      <c r="A86" t="inlineStr">
        <is>
          <t>FY2022: Loss on debt securities, net [Other income (expense), net]</t>
        </is>
      </c>
      <c r="H86" s="55" t="n">
        <v>-2064</v>
      </c>
      <c r="L86" s="56" t="inlineStr">
        <is>
          <t>x</t>
        </is>
      </c>
      <c r="M86" s="51" t="inlineStr">
        <is>
          <t>[disclosed] 10-K 0001652044-23-000016, OI&amp;E note — OI&amp;E note 2022: 'Gain (loss) on debt securities, net ... (2,064)'.</t>
        </is>
      </c>
    </row>
    <row r="87">
      <c r="A87" t="inlineStr">
        <is>
          <t>FY2022: Loss on equity securities, net [Other income (expense), net]</t>
        </is>
      </c>
      <c r="H87" s="55" t="n">
        <v>-3455</v>
      </c>
      <c r="L87" s="56" t="inlineStr">
        <is>
          <t>x</t>
        </is>
      </c>
      <c r="M87" s="51" t="inlineStr">
        <is>
          <t>[disclosed] 10-K 0001652044-23-000016, OI&amp;E note — OI&amp;E note 2022: 'Gain (loss) on equity securities, net ... (3,455)'.</t>
        </is>
      </c>
    </row>
    <row r="88">
      <c r="A88" t="inlineStr">
        <is>
          <t>FY2022: Performance fees (credit) [Other income (expense), net]</t>
        </is>
      </c>
      <c r="H88" s="55" t="n">
        <v>798</v>
      </c>
      <c r="L88" s="56" t="inlineStr">
        <is>
          <t>x</t>
        </is>
      </c>
      <c r="M88" s="51" t="inlineStr">
        <is>
          <t>[disclosed] 10-K 0001652044-23-000016, OI&amp;E note — OI&amp;E note 2022: 'Performance fees ... 798'.</t>
        </is>
      </c>
    </row>
    <row r="89">
      <c r="A89" t="inlineStr">
        <is>
          <t>FY2023: Accelerated rent and accelerated depreciation (office space optimization, in addition to exit charges) [Cost of revenues]</t>
        </is>
      </c>
      <c r="I89" s="55" t="n">
        <v>-269</v>
      </c>
      <c r="L89" s="56" t="n"/>
      <c r="M89" s="51" t="inlineStr">
        <is>
          <t>[disclosed] 10-K 0001652044-24-000022, MD&amp;A Financial Results highlights — 'In addition to these exit charges, for the year ended December 31, 2023, we incurred $269 million in accelerated rent and accelerated depreciati</t>
        </is>
      </c>
    </row>
    <row r="90">
      <c r="A90" t="inlineStr">
        <is>
          <t>FY2023: Employee severance and related charges - Cost of revenues portion [Cost of revenues]</t>
        </is>
      </c>
      <c r="I90" s="55" t="n">
        <v>-479</v>
      </c>
      <c r="L90" s="56" t="inlineStr">
        <is>
          <t>x</t>
        </is>
      </c>
      <c r="M90" s="51" t="inlineStr">
        <is>
          <t>[disclosed] 10-K 0001652044-24-000022, Note 8 'Workforce Reduction and Other Initiatives' — Note 8 table 'Severance and office space exit charges are included within our consolidated statements of income as follows': Cos</t>
        </is>
      </c>
    </row>
    <row r="91">
      <c r="A91" t="inlineStr">
        <is>
          <t>FY2023: Employee severance and related charges - G&amp;A portion [General and administrative]</t>
        </is>
      </c>
      <c r="I91" s="55" t="n">
        <v>-264</v>
      </c>
      <c r="L91" s="56" t="inlineStr">
        <is>
          <t>x</t>
        </is>
      </c>
      <c r="M91" s="51" t="inlineStr">
        <is>
          <t>[disclosed] 10-K 0001652044-24-000022, Note 8 — Note 8 table: General and administrative - Severance and Related $264.</t>
        </is>
      </c>
    </row>
    <row r="92">
      <c r="A92" t="inlineStr">
        <is>
          <t>FY2023: Employee severance and related charges - R&amp;D portion [Research and development]</t>
        </is>
      </c>
      <c r="I92" s="55" t="n">
        <v>-848</v>
      </c>
      <c r="L92" s="56" t="inlineStr">
        <is>
          <t>x</t>
        </is>
      </c>
      <c r="M92" s="51" t="inlineStr">
        <is>
          <t>[disclosed] 10-K 0001652044-24-000022, Note 8 — Note 8 table: Research and development - Severance and Related $848.</t>
        </is>
      </c>
    </row>
    <row r="93">
      <c r="A93" t="inlineStr">
        <is>
          <t>FY2023: Employee severance and related charges - S&amp;M portion [Sales and marketing]</t>
        </is>
      </c>
      <c r="I93" s="55" t="n">
        <v>-497</v>
      </c>
      <c r="L93" s="56" t="inlineStr">
        <is>
          <t>x</t>
        </is>
      </c>
      <c r="M93" s="51" t="inlineStr">
        <is>
          <t>[disclosed] 10-K 0001652044-24-000022, Note 8 — Note 8 table: Sales and marketing - Severance and Related $497.</t>
        </is>
      </c>
    </row>
    <row r="94">
      <c r="A94" t="inlineStr">
        <is>
          <t>FY2023: Gain on equity securities, net [Other income (expense), net]</t>
        </is>
      </c>
      <c r="I94" s="55" t="n">
        <v>392</v>
      </c>
      <c r="L94" s="56" t="inlineStr">
        <is>
          <t>x</t>
        </is>
      </c>
      <c r="M94" s="51" t="inlineStr">
        <is>
          <t>[disclosed] 10-K 0001652044-24-000022, OI&amp;E note — OI&amp;E note 2023: 'Gain (loss) on equity securities, net ... 392'.</t>
        </is>
      </c>
    </row>
    <row r="95">
      <c r="A95" t="inlineStr">
        <is>
          <t>FY2023: Google Play states/territories settlement charge [General and administrative]</t>
        </is>
      </c>
      <c r="I95" s="55" t="n">
        <v>-700</v>
      </c>
      <c r="L95" s="56" t="n"/>
      <c r="M95" s="51" t="inlineStr">
        <is>
          <t>[estimated] 10-K 0001652044-24-000022, Note 10 Legal Matters; amount per public settlement terms (Dec 2023), not quantified in filing — 'In September 2023, we reached a settlement in principle with 50 state Attorneys Gen</t>
        </is>
      </c>
    </row>
    <row r="96">
      <c r="A96" t="inlineStr">
        <is>
          <t>FY2023: Loss on debt securities, net [Other income (expense), net]</t>
        </is>
      </c>
      <c r="I96" s="55" t="n">
        <v>-1215</v>
      </c>
      <c r="L96" s="56" t="inlineStr">
        <is>
          <t>x</t>
        </is>
      </c>
      <c r="M96" s="51" t="inlineStr">
        <is>
          <t>[disclosed] 10-K 0001652044-24-000022, OI&amp;E note — OI&amp;E note 2023: 'Gain (loss) on debt securities, net ... (1,215)'.</t>
        </is>
      </c>
    </row>
    <row r="97">
      <c r="A97" t="inlineStr">
        <is>
          <t>FY2023: Office space optimization exit charges - Cost of revenues portion [Cost of revenues]</t>
        </is>
      </c>
      <c r="I97" s="55" t="n">
        <v>-481</v>
      </c>
      <c r="L97" s="56" t="inlineStr">
        <is>
          <t>x</t>
        </is>
      </c>
      <c r="M97" s="51" t="inlineStr">
        <is>
          <t>[disclosed] 10-K 0001652044-24-000022, Note 8 — Note 8 table: Cost of revenues - Office Space $481.</t>
        </is>
      </c>
    </row>
    <row r="98">
      <c r="A98" t="inlineStr">
        <is>
          <t>FY2023: Office space optimization exit charges - G&amp;A portion [General and administrative]</t>
        </is>
      </c>
      <c r="I98" s="55" t="n">
        <v>-237</v>
      </c>
      <c r="L98" s="56" t="inlineStr">
        <is>
          <t>x</t>
        </is>
      </c>
      <c r="M98" s="51" t="inlineStr">
        <is>
          <t>[disclosed] 10-K 0001652044-24-000022, Note 8 — Note 8 table: General and administrative - Office Space $237.</t>
        </is>
      </c>
    </row>
    <row r="99">
      <c r="A99" t="inlineStr">
        <is>
          <t>FY2023: Office space optimization exit charges - R&amp;D portion [Research and development]</t>
        </is>
      </c>
      <c r="I99" s="55" t="n">
        <v>-870</v>
      </c>
      <c r="L99" s="56" t="inlineStr">
        <is>
          <t>x</t>
        </is>
      </c>
      <c r="M99" s="51" t="inlineStr">
        <is>
          <t>[disclosed] 10-K 0001652044-24-000022, Note 8 — Note 8 table: Research and development - Office Space $870.</t>
        </is>
      </c>
    </row>
    <row r="100">
      <c r="A100" t="inlineStr">
        <is>
          <t>FY2023: Office space optimization exit charges - S&amp;M portion [Sales and marketing]</t>
        </is>
      </c>
      <c r="I100" s="55" t="n">
        <v>-257</v>
      </c>
      <c r="L100" s="56" t="inlineStr">
        <is>
          <t>x</t>
        </is>
      </c>
      <c r="M100" s="51" t="inlineStr">
        <is>
          <t>[disclosed] 10-K 0001652044-24-000022, Note 8 — Note 8 table: Sales and marketing - Office Space $257.</t>
        </is>
      </c>
    </row>
    <row r="101">
      <c r="A101" t="inlineStr">
        <is>
          <t>FY2023: Performance fees (credit) [Other income (expense), net]</t>
        </is>
      </c>
      <c r="I101" s="55" t="n">
        <v>257</v>
      </c>
      <c r="L101" s="56" t="inlineStr">
        <is>
          <t>x</t>
        </is>
      </c>
      <c r="M101" s="51" t="inlineStr">
        <is>
          <t>[disclosed] 10-K 0001652044-24-000022, OI&amp;E note — OI&amp;E note 2023: 'Performance fees ... 257'.</t>
        </is>
      </c>
    </row>
    <row r="102">
      <c r="A102" t="inlineStr">
        <is>
          <t>FY2024: EC fines - no P&amp;L effect in 2024 (context) [General and administrative]</t>
        </is>
      </c>
      <c r="J102" s="55" t="n">
        <v>0</v>
      </c>
      <c r="L102" s="56" t="n"/>
      <c r="M102" s="51" t="inlineStr">
        <is>
          <t>[disclosed] 10-K 0001652044-25-000014, MD&amp;A 'European Commission Fines' + Note 10 — 'In September 2024, the European Court of Justice rejected our appeal of the 2017 decision and upheld the EUR 2.4 billion fine. In the t</t>
        </is>
      </c>
    </row>
    <row r="103">
      <c r="A103" t="inlineStr">
        <is>
          <t>FY2024: Employee severance and related charges [General and administrative]</t>
        </is>
      </c>
      <c r="J103" s="55" t="n">
        <v>-1000</v>
      </c>
      <c r="L103" s="56" t="inlineStr">
        <is>
          <t>x</t>
        </is>
      </c>
      <c r="M103" s="51" t="inlineStr">
        <is>
          <t>[disclosed] 10-K 0001652044-25-000014, MD&amp;A Financial Results highlights — 'Employee severance and related charges for the year ended December 31, 2024 were $1.0 billion, a decrease of $1.1 billion as compared to the yea</t>
        </is>
      </c>
    </row>
    <row r="104">
      <c r="A104" t="inlineStr">
        <is>
          <t>FY2024: Gain on equity securities, net [Other income (expense), net]</t>
        </is>
      </c>
      <c r="J104" s="55" t="n">
        <v>3714</v>
      </c>
      <c r="L104" s="56" t="inlineStr">
        <is>
          <t>x</t>
        </is>
      </c>
      <c r="M104" s="51" t="inlineStr">
        <is>
          <t>[disclosed] 10-K 0001652044-25-000014, OI&amp;E note — OI&amp;E note 2024: 'Gain (loss) on equity securities, net ... 3,714'.</t>
        </is>
      </c>
    </row>
    <row r="105">
      <c r="A105" t="inlineStr">
        <is>
          <t>FY2024: Loss on debt securities, net [Other income (expense), net]</t>
        </is>
      </c>
      <c r="J105" s="55" t="n">
        <v>-1043</v>
      </c>
      <c r="L105" s="56" t="inlineStr">
        <is>
          <t>x</t>
        </is>
      </c>
      <c r="M105" s="51" t="inlineStr">
        <is>
          <t>[disclosed] 10-K 0001652044-25-000014, OI&amp;E note — OI&amp;E note 2024: 'Gain (loss) on debt securities, net ... (1,043)'.</t>
        </is>
      </c>
    </row>
    <row r="106">
      <c r="A106" t="inlineStr">
        <is>
          <t>FY2024: Office space charges (incl. accelerated rent and accelerated depreciation) [General and administrative]</t>
        </is>
      </c>
      <c r="J106" s="55" t="n">
        <v>-796</v>
      </c>
      <c r="L106" s="56" t="inlineStr">
        <is>
          <t>x</t>
        </is>
      </c>
      <c r="M106" s="51" t="inlineStr">
        <is>
          <t>[disclosed] 10-K 0001652044-25-000014, MD&amp;A Financial Results highlights — 'Office space charges, including accelerated rent and accelerated depreciation, for the year ended December 31, 2024 were $796 million, a decreas</t>
        </is>
      </c>
    </row>
    <row r="107">
      <c r="A107" t="inlineStr">
        <is>
          <t>FY2024: Performance fees (credit) [Other income (expense), net]</t>
        </is>
      </c>
      <c r="J107" s="55" t="n">
        <v>218</v>
      </c>
      <c r="L107" s="56" t="inlineStr">
        <is>
          <t>x</t>
        </is>
      </c>
      <c r="M107" s="51" t="inlineStr">
        <is>
          <t>[disclosed] 10-K 0001652044-25-000014, OI&amp;E note — OI&amp;E note 2024: 'Performance fees ... 218'.</t>
        </is>
      </c>
    </row>
    <row r="108">
      <c r="A108" t="inlineStr">
        <is>
          <t>FY2025: European Commission fine (Advertising Technology, September 2025, ~EUR 3.0B) [General and administrative]</t>
        </is>
      </c>
      <c r="K108" s="55" t="n">
        <v>-3500</v>
      </c>
      <c r="L108" s="56" t="inlineStr">
        <is>
          <t>x</t>
        </is>
      </c>
      <c r="M108" s="51" t="inlineStr">
        <is>
          <t>[disclosed] 10-K 0001652044-26-000018, MD&amp;A G&amp;A discussion + Note 10 — 'General and administrative expenses increased $7.3 billion from 2024 to 2025, primarily driven by an increase in expenses related to legal and other</t>
        </is>
      </c>
    </row>
    <row r="109">
      <c r="A109" t="inlineStr">
        <is>
          <t>FY2025: Gain on debt securities, net [Other income (expense), net]</t>
        </is>
      </c>
      <c r="K109" s="55" t="n">
        <v>540</v>
      </c>
      <c r="L109" s="56" t="inlineStr">
        <is>
          <t>x</t>
        </is>
      </c>
      <c r="M109" s="51" t="inlineStr">
        <is>
          <t>[disclosed] 10-K 0001652044-26-000018, OI&amp;E note — OI&amp;E note 2025: 'Gain (loss) on debt securities, net ... 540'.</t>
        </is>
      </c>
    </row>
    <row r="110">
      <c r="A110" t="inlineStr">
        <is>
          <t>FY2025: Gain on equity securities, net [Other income (expense), net]</t>
        </is>
      </c>
      <c r="K110" s="55" t="n">
        <v>24080</v>
      </c>
      <c r="L110" s="56" t="inlineStr">
        <is>
          <t>x</t>
        </is>
      </c>
      <c r="M110" s="51" t="inlineStr">
        <is>
          <t>[disclosed] 10-K 0001652044-26-000018, OI&amp;E note + equity securities gains table — OI&amp;E note 2025: 'Gain (loss) on equity securities, net ... 24,080'. Detail table: gross unrealized gain on non-marketable equity securiti</t>
        </is>
      </c>
    </row>
    <row r="111">
      <c r="A111" t="inlineStr">
        <is>
          <t>FY2025: Legal accrual - privacy settlement (Q2 2025; finalized October 2025) [General and administrative]</t>
        </is>
      </c>
      <c r="K111" s="55" t="n">
        <v>-1400</v>
      </c>
      <c r="L111" s="56" t="inlineStr">
        <is>
          <t>x</t>
        </is>
      </c>
      <c r="M111" s="51" t="inlineStr">
        <is>
          <t>[disclosed] 10-K 0001652044-26-000018, MD&amp;A G&amp;A discussion + Note 10 Privacy Matters — MD&amp;A: '...and a $1.4 billion legal accrual made in the second quarter of 2025.' Note 10 Privacy Matters: 'In October 2025, we finaliz</t>
        </is>
      </c>
    </row>
    <row r="112">
      <c r="A112" t="inlineStr">
        <is>
          <t>FY2025: No severance/office-space charges separately quantified for FY2025 [Revenues]</t>
        </is>
      </c>
      <c r="K112" s="55" t="n">
        <v>0</v>
      </c>
      <c r="L112" s="56" t="n"/>
      <c r="M112" s="51" t="inlineStr">
        <is>
          <t>[disclosed] 10-K 0001652044-26-000018, MD&amp;A expense discussions — FY2025 CoR/R&amp;D/S&amp;M/G&amp;A MD&amp;A driver discussions contain no severance or office-space charge amounts; segment note retains only boilerplate that such charge</t>
        </is>
      </c>
    </row>
    <row r="113">
      <c r="A113" s="53" t="inlineStr">
        <is>
          <t>Non-recurring pretax (included items)</t>
        </is>
      </c>
      <c r="B113" s="4">
        <f>SUMIF($L$61:$L$112,"x",B$61:B$112)</f>
        <v/>
      </c>
      <c r="C113" s="4">
        <f>SUMIF($L$61:$L$112,"x",C$61:C$112)</f>
        <v/>
      </c>
      <c r="D113" s="4">
        <f>SUMIF($L$61:$L$112,"x",D$61:D$112)</f>
        <v/>
      </c>
      <c r="E113" s="4">
        <f>SUMIF($L$61:$L$112,"x",E$61:E$112)</f>
        <v/>
      </c>
      <c r="F113" s="4">
        <f>SUMIF($L$61:$L$112,"x",F$61:F$112)</f>
        <v/>
      </c>
      <c r="G113" s="4">
        <f>SUMIF($L$61:$L$112,"x",G$61:G$112)</f>
        <v/>
      </c>
      <c r="H113" s="4">
        <f>SUMIF($L$61:$L$112,"x",H$61:H$112)</f>
        <v/>
      </c>
      <c r="I113" s="4">
        <f>SUMIF($L$61:$L$112,"x",I$61:I$112)</f>
        <v/>
      </c>
      <c r="J113" s="4">
        <f>SUMIF($L$61:$L$112,"x",J$61:J$112)</f>
        <v/>
      </c>
      <c r="K113" s="4">
        <f>SUMIF($L$61:$L$112,"x",K$61:K$112)</f>
        <v/>
      </c>
    </row>
    <row r="114">
      <c r="A114" s="57" t="inlineStr">
        <is>
          <t>CORE PRETAX INCOME</t>
        </is>
      </c>
      <c r="B114" s="58">
        <f>B60-B113</f>
        <v/>
      </c>
      <c r="C114" s="58">
        <f>C60-C113</f>
        <v/>
      </c>
      <c r="D114" s="58">
        <f>D60-D113</f>
        <v/>
      </c>
      <c r="E114" s="58">
        <f>E60-E113</f>
        <v/>
      </c>
      <c r="F114" s="58">
        <f>F60-F113</f>
        <v/>
      </c>
      <c r="G114" s="58">
        <f>G60-G113</f>
        <v/>
      </c>
      <c r="H114" s="58">
        <f>H60-H113</f>
        <v/>
      </c>
      <c r="I114" s="58">
        <f>I60-I113</f>
        <v/>
      </c>
      <c r="J114" s="58">
        <f>J60-J113</f>
        <v/>
      </c>
      <c r="K114" s="58">
        <f>K60-K113</f>
        <v/>
      </c>
    </row>
    <row r="115">
      <c r="A115" t="inlineStr">
        <is>
          <t>Reported tax provision (stored negative)</t>
        </is>
      </c>
      <c r="B115" s="4">
        <f>'Income Statement'!B18</f>
        <v/>
      </c>
      <c r="C115" s="4">
        <f>'Income Statement'!C18</f>
        <v/>
      </c>
      <c r="D115" s="4">
        <f>'Income Statement'!D18</f>
        <v/>
      </c>
      <c r="E115" s="4">
        <f>'Income Statement'!E18</f>
        <v/>
      </c>
      <c r="F115" s="4">
        <f>'Income Statement'!F18</f>
        <v/>
      </c>
      <c r="G115" s="4">
        <f>'Income Statement'!G18</f>
        <v/>
      </c>
      <c r="H115" s="4">
        <f>'Income Statement'!H18</f>
        <v/>
      </c>
      <c r="I115" s="4">
        <f>'Income Statement'!I18</f>
        <v/>
      </c>
      <c r="J115" s="4">
        <f>'Income Statement'!J18</f>
        <v/>
      </c>
      <c r="K115" s="4">
        <f>'Income Statement'!K18</f>
        <v/>
      </c>
    </row>
    <row r="116">
      <c r="A116" t="inlineStr">
        <is>
          <t>Tax rate on adjustments (editable)</t>
        </is>
      </c>
      <c r="B116" s="59">
        <f>'Condensed Financials'!B15</f>
        <v/>
      </c>
      <c r="C116" s="59">
        <f>'Condensed Financials'!C15</f>
        <v/>
      </c>
      <c r="D116" s="59">
        <f>'Condensed Financials'!D15</f>
        <v/>
      </c>
      <c r="E116" s="59">
        <f>'Condensed Financials'!E15</f>
        <v/>
      </c>
      <c r="F116" s="59">
        <f>'Condensed Financials'!F15</f>
        <v/>
      </c>
      <c r="G116" s="59">
        <f>'Condensed Financials'!G15</f>
        <v/>
      </c>
      <c r="H116" s="59">
        <f>'Condensed Financials'!H15</f>
        <v/>
      </c>
      <c r="I116" s="59">
        <f>'Condensed Financials'!I15</f>
        <v/>
      </c>
      <c r="J116" s="59">
        <f>'Condensed Financials'!J15</f>
        <v/>
      </c>
      <c r="K116" s="59">
        <f>'Condensed Financials'!K15</f>
        <v/>
      </c>
      <c r="M116" s="51" t="inlineStr">
        <is>
          <t>Defaults to the year's effective rate; overwrite where the ETR is itself distorted (FY2017 53.4% Tax Act) or items are non-deductible (EC fines; FY2025 handled by the -955 one-off below)</t>
        </is>
      </c>
    </row>
    <row r="117">
      <c r="A117" t="inlineStr">
        <is>
          <t>FY2017: Tax Act deferred tax remeasurement (35% to 21%) [tax]</t>
        </is>
      </c>
      <c r="C117" s="55" t="n">
        <v>381</v>
      </c>
      <c r="L117" s="56" t="inlineStr">
        <is>
          <t>x</t>
        </is>
      </c>
      <c r="M117" s="51" t="inlineStr">
        <is>
          <t>[estimated] 10-K 0001652044-18-000007, Note 14 rate reconciliation — Rate reconciliation: 'Deferred tax effects (1.4)' pts; benefit ~1.4% x $27,193M pretax.</t>
        </is>
      </c>
    </row>
    <row r="118">
      <c r="A118" t="inlineStr">
        <is>
          <t>FY2017: Tax Act one-time transition tax on accumulated foreign earnings [tax]</t>
        </is>
      </c>
      <c r="C118" s="55" t="n">
        <v>-10200</v>
      </c>
      <c r="L118" s="56" t="inlineStr">
        <is>
          <t>x</t>
        </is>
      </c>
      <c r="M118" s="51" t="inlineStr">
        <is>
          <t>[disclosed] 10-K 0001652044-18-000007, MD&amp;A Taxes + Note 14 rate reconciliation — 'On December 22, 2017, the Tax Act was enacted and we recorded a tax liability for the one-time transition tax on accumulated foreign subs</t>
        </is>
      </c>
    </row>
    <row r="119">
      <c r="A119" t="inlineStr">
        <is>
          <t>FY2018: Tax Act SAB 118 finalization adjustments [tax]</t>
        </is>
      </c>
      <c r="D119" s="55" t="n">
        <v>454</v>
      </c>
      <c r="L119" s="56" t="inlineStr">
        <is>
          <t>x</t>
        </is>
      </c>
      <c r="M119" s="51" t="inlineStr">
        <is>
          <t>[estimated] 10-K 0001652044-19-000004, Note 13 rate reconciliation — 'The accounting for the tax effects of the Tax Act has been completed as of December 31, 2018.' Reconciliation 2018: transition tax (0.1) pts, deferred</t>
        </is>
      </c>
    </row>
    <row r="120">
      <c r="A120" t="inlineStr">
        <is>
          <t>FY2019: Altera (Ninth Circuit) reversal of cumulative cost-sharing SBC tax benefit [tax]</t>
        </is>
      </c>
      <c r="E120" s="55" t="n">
        <v>-418</v>
      </c>
      <c r="L120" s="56" t="inlineStr">
        <is>
          <t>x</t>
        </is>
      </c>
      <c r="M120" s="51" t="inlineStr">
        <is>
          <t>[disclosed] 10-K 0001652044-20-000008, Note 14 — 'As a result of the Ninth Circuit court decision, our cumulative net tax benefit of $418 million related to previously shared stock-based compensation costs was reversed i</t>
        </is>
      </c>
    </row>
    <row r="121">
      <c r="A121" t="inlineStr">
        <is>
          <t>FY2023: One-time cumulative adjustment for IRS rule changes (foreign tax credit regs + R&amp;E capitalization interim guidance) [tax]</t>
        </is>
      </c>
      <c r="I121" s="55" t="n">
        <v>829</v>
      </c>
      <c r="L121" s="56" t="inlineStr">
        <is>
          <t>x</t>
        </is>
      </c>
      <c r="M121" s="51" t="inlineStr">
        <is>
          <t>[disclosed] 10-K 0001652044-26-000018 (FY2025) dollar rate reconciliation; 10-K 0001652044-24-000022 (FY2023) Note 14 — FY2023 10-K: 'A cumulative one-time adjustment applicable to the prior period for these tax rule cha</t>
        </is>
      </c>
    </row>
    <row r="122">
      <c r="A122" t="inlineStr">
        <is>
          <t>FY2025: Non-deductible EC fine and US legal settlement - rate effect [tax]</t>
        </is>
      </c>
      <c r="K122" s="55" t="n">
        <v>-955</v>
      </c>
      <c r="L122" s="56" t="inlineStr">
        <is>
          <t>x</t>
        </is>
      </c>
      <c r="M122" s="51" t="inlineStr">
        <is>
          <t>[estimated] 10-K 0001652044-26-000018, MD&amp;A tax discussion + rate reconciliation — 'The effective tax rate increased from 2024 to 2025... primarily due to a decrease in the US Federal Foreign Derived Intangible Income ta</t>
        </is>
      </c>
    </row>
    <row r="123">
      <c r="A123" t="inlineStr">
        <is>
          <t>Q1FY2026: Discrete tax benefit on deconsolidation of one of the Other Bets [tax]</t>
        </is>
      </c>
      <c r="L123" s="56" t="n"/>
      <c r="M123" s="51" t="inlineStr">
        <is>
          <t>[uncertain] 10-Q 0001652044-26-000048, MD&amp;A provision for income taxes — 'This increase was primarily due to an increase in acquisition-related tax integration costs, partially offset by an increase in SBC-related tax be</t>
        </is>
      </c>
    </row>
    <row r="124">
      <c r="A124" s="53" t="inlineStr">
        <is>
          <t>Core tax provision (stored sign)</t>
        </is>
      </c>
      <c r="B124" s="4">
        <f>B115+B113*B116-SUMIF($L$117:$L$123,"x",B$117:B$123)</f>
        <v/>
      </c>
      <c r="C124" s="4">
        <f>C115+C113*C116-SUMIF($L$117:$L$123,"x",C$117:C$123)</f>
        <v/>
      </c>
      <c r="D124" s="4">
        <f>D115+D113*D116-SUMIF($L$117:$L$123,"x",D$117:D$123)</f>
        <v/>
      </c>
      <c r="E124" s="4">
        <f>E115+E113*E116-SUMIF($L$117:$L$123,"x",E$117:E$123)</f>
        <v/>
      </c>
      <c r="F124" s="4">
        <f>F115+F113*F116-SUMIF($L$117:$L$123,"x",F$117:F$123)</f>
        <v/>
      </c>
      <c r="G124" s="4">
        <f>G115+G113*G116-SUMIF($L$117:$L$123,"x",G$117:G$123)</f>
        <v/>
      </c>
      <c r="H124" s="4">
        <f>H115+H113*H116-SUMIF($L$117:$L$123,"x",H$117:H$123)</f>
        <v/>
      </c>
      <c r="I124" s="4">
        <f>I115+I113*I116-SUMIF($L$117:$L$123,"x",I$117:I$123)</f>
        <v/>
      </c>
      <c r="J124" s="4">
        <f>J115+J113*J116-SUMIF($L$117:$L$123,"x",J$117:J$123)</f>
        <v/>
      </c>
      <c r="K124" s="4">
        <f>K115+K113*K116-SUMIF($L$117:$L$123,"x",K$117:K$123)</f>
        <v/>
      </c>
    </row>
    <row r="125">
      <c r="A125" s="57" t="inlineStr">
        <is>
          <t>CORE NET INCOME</t>
        </is>
      </c>
      <c r="B125" s="58">
        <f>B114+B124</f>
        <v/>
      </c>
      <c r="C125" s="58">
        <f>C114+C124</f>
        <v/>
      </c>
      <c r="D125" s="58">
        <f>D114+D124</f>
        <v/>
      </c>
      <c r="E125" s="58">
        <f>E114+E124</f>
        <v/>
      </c>
      <c r="F125" s="58">
        <f>F114+F124</f>
        <v/>
      </c>
      <c r="G125" s="58">
        <f>G114+G124</f>
        <v/>
      </c>
      <c r="H125" s="58">
        <f>H114+H124</f>
        <v/>
      </c>
      <c r="I125" s="58">
        <f>I114+I124</f>
        <v/>
      </c>
      <c r="J125" s="58">
        <f>J114+J124</f>
        <v/>
      </c>
      <c r="K125" s="58">
        <f>K114+K124</f>
        <v/>
      </c>
      <c r="M125" s="51" t="inlineStr">
        <is>
          <t>Core PT + core tax (stored signs; Alphabet's IS has no equity-method or NCI rows - identity NI = PT + provision asserted per year by build_core_bridge.py)</t>
        </is>
      </c>
    </row>
    <row r="126">
      <c r="A126" t="inlineStr">
        <is>
          <t>Reported net income</t>
        </is>
      </c>
      <c r="B126" s="4">
        <f>'Income Statement'!B19</f>
        <v/>
      </c>
      <c r="C126" s="4">
        <f>'Income Statement'!C19</f>
        <v/>
      </c>
      <c r="D126" s="4">
        <f>'Income Statement'!D19</f>
        <v/>
      </c>
      <c r="E126" s="4">
        <f>'Income Statement'!E19</f>
        <v/>
      </c>
      <c r="F126" s="4">
        <f>'Income Statement'!F19</f>
        <v/>
      </c>
      <c r="G126" s="4">
        <f>'Income Statement'!G19</f>
        <v/>
      </c>
      <c r="H126" s="4">
        <f>'Income Statement'!H19</f>
        <v/>
      </c>
      <c r="I126" s="4">
        <f>'Income Statement'!I19</f>
        <v/>
      </c>
      <c r="J126" s="4">
        <f>'Income Statement'!J19</f>
        <v/>
      </c>
      <c r="K126" s="4">
        <f>'Income Statement'!K19</f>
        <v/>
      </c>
    </row>
    <row r="127">
      <c r="A127" t="inlineStr">
        <is>
          <t>Core diluted EPS ($; n/m pre-FY2022)</t>
        </is>
      </c>
      <c r="B127" s="60">
        <f>IFERROR(B125/'Income Statement'!B24,"n/m")</f>
        <v/>
      </c>
      <c r="C127" s="60">
        <f>IFERROR(C125/'Income Statement'!C24,"n/m")</f>
        <v/>
      </c>
      <c r="D127" s="60">
        <f>IFERROR(D125/'Income Statement'!D24,"n/m")</f>
        <v/>
      </c>
      <c r="E127" s="60">
        <f>IFERROR(E125/'Income Statement'!E24,"n/m")</f>
        <v/>
      </c>
      <c r="F127" s="60">
        <f>IFERROR(F125/'Income Statement'!F24,"n/m")</f>
        <v/>
      </c>
      <c r="G127" s="60">
        <f>IFERROR(G125/'Income Statement'!G24,"n/m")</f>
        <v/>
      </c>
      <c r="H127" s="60">
        <f>IFERROR(H125/'Income Statement'!H24,"n/m")</f>
        <v/>
      </c>
      <c r="I127" s="60">
        <f>IFERROR(I125/'Income Statement'!I24,"n/m")</f>
        <v/>
      </c>
      <c r="J127" s="60">
        <f>IFERROR(J125/'Income Statement'!J24,"n/m")</f>
        <v/>
      </c>
      <c r="K127" s="60">
        <f>IFERROR(K125/'Income Statement'!K24,"n/m")</f>
        <v/>
      </c>
      <c r="M127" s="51" t="inlineStr">
        <is>
          <t>NI $M / diluted weighted shares M (IS row 24; as-filed only from FY2022, split-adjusted) = $/share</t>
        </is>
      </c>
    </row>
    <row r="128">
      <c r="A128" t="inlineStr">
        <is>
          <t>Reported diluted EPS</t>
        </is>
      </c>
      <c r="B128" s="60">
        <f>'Income Statement'!B22</f>
        <v/>
      </c>
      <c r="C128" s="60">
        <f>'Income Statement'!C22</f>
        <v/>
      </c>
      <c r="D128" s="60">
        <f>'Income Statement'!D22</f>
        <v/>
      </c>
      <c r="E128" s="60">
        <f>'Income Statement'!E22</f>
        <v/>
      </c>
      <c r="F128" s="60">
        <f>'Income Statement'!F22</f>
        <v/>
      </c>
      <c r="G128" s="60">
        <f>'Income Statement'!G22</f>
        <v/>
      </c>
      <c r="H128" s="60">
        <f>'Income Statement'!H22</f>
        <v/>
      </c>
      <c r="I128" s="60">
        <f>'Income Statement'!I22</f>
        <v/>
      </c>
      <c r="J128" s="60">
        <f>'Income Statement'!J22</f>
        <v/>
      </c>
      <c r="K128" s="60">
        <f>'Income Statement'!K22</f>
        <v/>
      </c>
      <c r="M128" s="51" t="inlineStr">
        <is>
          <t>As filed: FY2016-FY2019 pre-split dollars; FY2020+ split-adjusted</t>
        </is>
      </c>
    </row>
    <row r="129">
      <c r="A129" s="53" t="inlineStr">
        <is>
          <t>CORE NOPAT (core NI + NIAT)</t>
        </is>
      </c>
      <c r="B129" s="4">
        <f>B125+'Condensed Financials'!B16</f>
        <v/>
      </c>
      <c r="C129" s="4">
        <f>C125+'Condensed Financials'!C16</f>
        <v/>
      </c>
      <c r="D129" s="4">
        <f>D125+'Condensed Financials'!D16</f>
        <v/>
      </c>
      <c r="E129" s="4">
        <f>E125+'Condensed Financials'!E16</f>
        <v/>
      </c>
      <c r="F129" s="4">
        <f>F125+'Condensed Financials'!F16</f>
        <v/>
      </c>
      <c r="G129" s="4">
        <f>G125+'Condensed Financials'!G16</f>
        <v/>
      </c>
      <c r="H129" s="4">
        <f>H125+'Condensed Financials'!H16</f>
        <v/>
      </c>
      <c r="I129" s="4">
        <f>I125+'Condensed Financials'!I16</f>
        <v/>
      </c>
      <c r="J129" s="4">
        <f>J125+'Condensed Financials'!J16</f>
        <v/>
      </c>
      <c r="K129" s="4">
        <f>K125+'Condensed Financials'!K16</f>
        <v/>
      </c>
    </row>
    <row r="130">
      <c r="A130" s="57" t="inlineStr">
        <is>
          <t>CORE NOPAT MARGIN</t>
        </is>
      </c>
      <c r="B130" s="32">
        <f>B129/'Income Statement'!B7</f>
        <v/>
      </c>
      <c r="C130" s="32">
        <f>C129/'Income Statement'!C7</f>
        <v/>
      </c>
      <c r="D130" s="32">
        <f>D129/'Income Statement'!D7</f>
        <v/>
      </c>
      <c r="E130" s="32">
        <f>E129/'Income Statement'!E7</f>
        <v/>
      </c>
      <c r="F130" s="32">
        <f>F129/'Income Statement'!F7</f>
        <v/>
      </c>
      <c r="G130" s="32">
        <f>G129/'Income Statement'!G7</f>
        <v/>
      </c>
      <c r="H130" s="32">
        <f>H129/'Income Statement'!H7</f>
        <v/>
      </c>
      <c r="I130" s="32">
        <f>I129/'Income Statement'!I7</f>
        <v/>
      </c>
      <c r="J130" s="32">
        <f>J129/'Income Statement'!J7</f>
        <v/>
      </c>
      <c r="K130" s="32">
        <f>K129/'Income Statement'!K7</f>
        <v/>
      </c>
    </row>
    <row r="131">
      <c r="A131" t="inlineStr">
        <is>
          <t>Reported NOPAT margin (memo)</t>
        </is>
      </c>
      <c r="B131" s="1">
        <f>'Condensed Financials'!B17/'Income Statement'!B7</f>
        <v/>
      </c>
      <c r="C131" s="1">
        <f>'Condensed Financials'!C17/'Income Statement'!C7</f>
        <v/>
      </c>
      <c r="D131" s="1">
        <f>'Condensed Financials'!D17/'Income Statement'!D7</f>
        <v/>
      </c>
      <c r="E131" s="1">
        <f>'Condensed Financials'!E17/'Income Statement'!E7</f>
        <v/>
      </c>
      <c r="F131" s="1">
        <f>'Condensed Financials'!F17/'Income Statement'!F7</f>
        <v/>
      </c>
      <c r="G131" s="1">
        <f>'Condensed Financials'!G17/'Income Statement'!G7</f>
        <v/>
      </c>
      <c r="H131" s="1">
        <f>'Condensed Financials'!H17/'Income Statement'!H7</f>
        <v/>
      </c>
      <c r="I131" s="1">
        <f>'Condensed Financials'!I17/'Income Statement'!I7</f>
        <v/>
      </c>
      <c r="J131" s="1">
        <f>'Condensed Financials'!J17/'Income Statement'!J7</f>
        <v/>
      </c>
      <c r="K131" s="1">
        <f>'Condensed Financials'!K17/'Income Statement'!K7</f>
        <v/>
      </c>
    </row>
    <row r="132"/>
    <row r="133">
      <c r="A133" s="52" t="inlineStr">
        <is>
          <t>QUARTERLY (items with disclosed quarter attribution only — the annual bridge is authoritative)</t>
        </is>
      </c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</row>
    <row r="134">
      <c r="A134" s="53" t="inlineStr">
        <is>
          <t>Line Item</t>
        </is>
      </c>
      <c r="B134" s="61" t="inlineStr">
        <is>
          <t>Q1 2024</t>
        </is>
      </c>
      <c r="C134" s="61" t="inlineStr">
        <is>
          <t>Q2 2024</t>
        </is>
      </c>
      <c r="D134" s="61" t="inlineStr">
        <is>
          <t>Q3 2024</t>
        </is>
      </c>
      <c r="E134" s="61" t="inlineStr">
        <is>
          <t>Q4 2024</t>
        </is>
      </c>
      <c r="F134" s="61" t="inlineStr">
        <is>
          <t>Q1 2025</t>
        </is>
      </c>
      <c r="G134" s="61" t="inlineStr">
        <is>
          <t>Q2 2025</t>
        </is>
      </c>
      <c r="H134" s="61" t="inlineStr">
        <is>
          <t>Q3 2025</t>
        </is>
      </c>
      <c r="I134" s="61" t="inlineStr">
        <is>
          <t>Q4 2025</t>
        </is>
      </c>
      <c r="J134" s="61" t="inlineStr">
        <is>
          <t>Q1 2026</t>
        </is>
      </c>
    </row>
    <row r="135">
      <c r="A135" t="inlineStr">
        <is>
          <t>Reported pretax income (quarter)</t>
        </is>
      </c>
      <c r="B135" s="4">
        <f>'Income Statement'!B44</f>
        <v/>
      </c>
      <c r="C135" s="4">
        <f>'Income Statement'!C44</f>
        <v/>
      </c>
      <c r="D135" s="4">
        <f>'Income Statement'!D44</f>
        <v/>
      </c>
      <c r="E135" s="4">
        <f>'Income Statement'!E44</f>
        <v/>
      </c>
      <c r="F135" s="4">
        <f>'Income Statement'!F44</f>
        <v/>
      </c>
      <c r="G135" s="4">
        <f>'Income Statement'!G44</f>
        <v/>
      </c>
      <c r="H135" s="4">
        <f>'Income Statement'!H44</f>
        <v/>
      </c>
      <c r="I135" s="4">
        <f>'Income Statement'!I44</f>
        <v/>
      </c>
      <c r="J135" s="4">
        <f>'Income Statement'!J44</f>
        <v/>
      </c>
    </row>
    <row r="136">
      <c r="A136" t="inlineStr">
        <is>
          <t>Q1FY2026: Gain on equity securities, net [Other income (expense), net]</t>
        </is>
      </c>
      <c r="J136" s="55" t="n">
        <v>36915</v>
      </c>
      <c r="L136" s="56" t="inlineStr">
        <is>
          <t>x</t>
        </is>
      </c>
      <c r="M136" s="51" t="inlineStr">
        <is>
          <t>[disclosed] 10-Q 0001652044-26-000048, OI&amp;E note + MD&amp;A — OI&amp;E note Q1 2026: 'Gain (loss) on equity securities, net ... 36,915'. MD&amp;A: 'OI&amp;E, net increased $26.5 billion... primarily due to increases in net unrealized ga</t>
        </is>
      </c>
    </row>
    <row r="137">
      <c r="A137" t="inlineStr">
        <is>
          <t>Q1FY2026: Loss on debt securities, net [Other income (expense), net]</t>
        </is>
      </c>
      <c r="J137" s="55" t="n">
        <v>-111</v>
      </c>
      <c r="L137" s="56" t="inlineStr">
        <is>
          <t>x</t>
        </is>
      </c>
      <c r="M137" s="51" t="inlineStr">
        <is>
          <t>[disclosed] 10-Q 0001652044-26-000048, OI&amp;E note — OI&amp;E note Q1 2026: 'Gain (loss) on debt securities, net ... (111)'.</t>
        </is>
      </c>
    </row>
    <row r="138">
      <c r="A138" t="inlineStr">
        <is>
          <t>Q1FY2026: No EC fine or large legal accrual in the quarter [General and administrative]</t>
        </is>
      </c>
      <c r="J138" s="55" t="n">
        <v>0</v>
      </c>
      <c r="L138" s="56" t="n"/>
      <c r="M138" s="51" t="inlineStr">
        <is>
          <t>[disclosed] 10-Q 0001652044-26-000048, MD&amp;A G&amp;A discussion — G&amp;A increased $752M YoY 'primarily driven by increases in employee compensation expenses of $272 million, expenses related to legal and other matters of $208 m</t>
        </is>
      </c>
    </row>
    <row r="139">
      <c r="A139" t="inlineStr">
        <is>
          <t>Q1FY2026: Office space impairment charges [Sales and marketing]</t>
        </is>
      </c>
      <c r="J139" s="55" t="n">
        <v>-300</v>
      </c>
      <c r="L139" s="56" t="inlineStr">
        <is>
          <t>x</t>
        </is>
      </c>
      <c r="M139" s="51" t="inlineStr">
        <is>
          <t>[disclosed] 10-Q 0001652044-26-000048 (period 2026-03-31), MD&amp;A S&amp;M discussion — 'Sales and marketing expenses increased $1.4 billion... primarily driven by increases in advertising and promotional activities of $600 mil</t>
        </is>
      </c>
    </row>
    <row r="140">
      <c r="A140" s="53" t="inlineStr">
        <is>
          <t>Non-recurring pretax (included)</t>
        </is>
      </c>
      <c r="B140" s="4">
        <f>SUMIF($L$136:$L$139,"x",B$136:B$139)</f>
        <v/>
      </c>
      <c r="C140" s="4">
        <f>SUMIF($L$136:$L$139,"x",C$136:C$139)</f>
        <v/>
      </c>
      <c r="D140" s="4">
        <f>SUMIF($L$136:$L$139,"x",D$136:D$139)</f>
        <v/>
      </c>
      <c r="E140" s="4">
        <f>SUMIF($L$136:$L$139,"x",E$136:E$139)</f>
        <v/>
      </c>
      <c r="F140" s="4">
        <f>SUMIF($L$136:$L$139,"x",F$136:F$139)</f>
        <v/>
      </c>
      <c r="G140" s="4">
        <f>SUMIF($L$136:$L$139,"x",G$136:G$139)</f>
        <v/>
      </c>
      <c r="H140" s="4">
        <f>SUMIF($L$136:$L$139,"x",H$136:H$139)</f>
        <v/>
      </c>
      <c r="I140" s="4">
        <f>SUMIF($L$136:$L$139,"x",I$136:I$139)</f>
        <v/>
      </c>
      <c r="J140" s="4">
        <f>SUMIF($L$136:$L$139,"x",J$136:J$139)</f>
        <v/>
      </c>
    </row>
    <row r="141">
      <c r="A141" s="57" t="inlineStr">
        <is>
          <t>CORE PRETAX (quarter)</t>
        </is>
      </c>
      <c r="B141" s="58">
        <f>B135-B140</f>
        <v/>
      </c>
      <c r="C141" s="58">
        <f>C135-C140</f>
        <v/>
      </c>
      <c r="D141" s="58">
        <f>D135-D140</f>
        <v/>
      </c>
      <c r="E141" s="58">
        <f>E135-E140</f>
        <v/>
      </c>
      <c r="F141" s="58">
        <f>F135-F140</f>
        <v/>
      </c>
      <c r="G141" s="58">
        <f>G135-G140</f>
        <v/>
      </c>
      <c r="H141" s="58">
        <f>H135-H140</f>
        <v/>
      </c>
      <c r="I141" s="58">
        <f>I135-I140</f>
        <v/>
      </c>
      <c r="J141" s="58">
        <f>J135-J140</f>
        <v/>
      </c>
    </row>
    <row r="142"/>
    <row r="143">
      <c r="A143" s="53" t="inlineStr">
        <is>
          <t>DISCLOSURE-ONLY (no adjustment proposed)</t>
        </is>
      </c>
    </row>
    <row r="144">
      <c r="A144" s="51" t="inlineStr">
        <is>
          <t>FY2021: Server/network useful-life extension (servers 3-&gt;4 yrs, certain network 3-&gt;5 yrs, effective 1/1/2021)</t>
        </is>
      </c>
      <c r="M144" s="51" t="inlineStr">
        <is>
          <t>Accounting-estimate change, prospective; flattered FY2021 operating income by ~$2.6B (CoR and R&amp;D). Do NOT propose as a bridge adjustment - flag for margin comparability only.</t>
        </is>
      </c>
    </row>
    <row r="145">
      <c r="A145" s="51" t="inlineStr">
        <is>
          <t>FY2023: Server/network useful-life extension (servers 4-&gt;6 yrs, certain network 5-&gt;6 yrs, effective 1/1/2023)</t>
        </is>
      </c>
      <c r="M145" s="51" t="inlineStr">
        <is>
          <t>FY2022 10-K had guided to ~$3.4B for assets in service at 12/31/2022; actual 2023 effect $3.9B. No further life changes disclosed through Q1 FY2026.</t>
        </is>
      </c>
    </row>
    <row r="146">
      <c r="A146" s="51" t="inlineStr">
        <is>
          <t>FY2021: Unitemized $1.7B YoY increase in G&amp;A charges relating to legal matters</t>
        </is>
      </c>
      <c r="M146" s="51" t="inlineStr">
        <is>
          <t>Composition never itemized in filings (publicly known components that year: French Autorite ad-tech EUR 220M and news-copyright EUR 500M fines, CNIL cookies fines, Russia fines). YoY increase, not a level - unusable as a</t>
        </is>
      </c>
    </row>
    <row r="147">
      <c r="A147" s="51" t="inlineStr">
        <is>
          <t>FY2022: Location-history multistate AG settlement (~$391M) - not separately disclosed in filings</t>
        </is>
      </c>
      <c r="M147" s="51" t="inlineStr">
        <is>
          <t>Material by the &gt;$200M screen but unverifiable against filing text - recorded here rather than as a bridge adjustment.</t>
        </is>
      </c>
    </row>
    <row r="148">
      <c r="A148" s="51" t="inlineStr">
        <is>
          <t>FY2020: COVID-driven credit-loss allowance swing in G&amp;A</t>
        </is>
      </c>
      <c r="M148" s="51" t="inlineStr">
        <is>
          <t>Estimate change that depressed 2020 G&amp;A and flattered 2021; flagged for comparability, not a discrete bridge item. FY2022 then saw a $551M allowance increase off the low 2021 base.</t>
        </is>
      </c>
    </row>
    <row r="149">
      <c r="A149" s="51" t="inlineStr">
        <is>
          <t>FY2025: US tax law changes enacted July 4, 2025 (immediate R&amp;E expensing, accelerated depreciation)</t>
        </is>
      </c>
      <c r="M149" s="51" t="inlineStr">
        <is>
          <t>No discrete P&amp;L amount disclosed (reconciliation line 'Effect of change in tax laws or rates' = 0 for 2025); primarily deferred-tax/cash-tax timing. Monitor cash taxes.</t>
        </is>
      </c>
    </row>
    <row r="150">
      <c r="A150" s="51" t="inlineStr">
        <is>
          <t>FY2025: ACCC (Australia) Search-distribution settlement charge, Q2 2025</t>
        </is>
      </c>
      <c r="M150" s="51" t="inlineStr">
        <is>
          <t>Amount not disclosed in filing; public penalty ~A$55M - below the $200M materiality screen. Listed for completeness only.</t>
        </is>
      </c>
    </row>
    <row r="151">
      <c r="A151" s="51" t="inlineStr">
        <is>
          <t>FY2024: Potential future EC AdSense fine reversal (~EUR 1.5B accrual retained)</t>
        </is>
      </c>
      <c r="M151" s="51" t="inlineStr">
        <is>
          <t>If the annulment is upheld, expect a one-time ~$1.5-1.7B credit (likely G&amp;A) in a future period - a pre-identified non-core gain.</t>
        </is>
      </c>
    </row>
  </sheetData>
  <dataValidations count="1">
    <dataValidation sqref="L61:L112 L117:L123 L136:L139" showDropDown="0" showInputMessage="0" showErrorMessage="0" allowBlank="0" type="list">
      <formula1>"x,"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xSplit="1" ySplit="6" topLeftCell="B52" activePane="bottomRight" state="frozen"/>
      <selection pane="topRight" activeCell="A1" sqref="A1"/>
      <selection pane="bottomLeft" activeCell="A1" sqref="A1"/>
      <selection pane="bottomRight" activeCell="J72" sqref="J72"/>
    </sheetView>
  </sheetViews>
  <sheetFormatPr baseColWidth="10" defaultColWidth="8.83203125" defaultRowHeight="15"/>
  <cols>
    <col width="48" customWidth="1" style="92" min="1" max="1"/>
    <col width="16" customWidth="1" style="92" min="2" max="11"/>
  </cols>
  <sheetData>
    <row r="1">
      <c r="A1" t="inlineStr">
        <is>
          <t>Company: Alphabet Inc. (GOOGL)</t>
        </is>
      </c>
    </row>
    <row r="2">
      <c r="A2" t="inlineStr">
        <is>
          <t>Statement: Consolidated Balance Sheets</t>
        </is>
      </c>
    </row>
    <row r="3">
      <c r="A3" t="inlineStr">
        <is>
          <t>Units: USD in Millions</t>
        </is>
      </c>
    </row>
    <row r="4">
      <c r="A4" t="inlineStr">
        <is>
          <t>Source: SEC 10-K filings, as filed (acc. 0001652044-26-000018 / 0001652044-24-000022 / 0001652044-22-000019 / 0001652044-20-000008 / 0001652044-18-000007; each year from the newest filing covering it)</t>
        </is>
      </c>
    </row>
    <row r="5"/>
    <row r="6">
      <c r="A6" s="8" t="inlineStr">
        <is>
          <t>Line Item</t>
        </is>
      </c>
      <c r="B6" s="9" t="n">
        <v>42735</v>
      </c>
      <c r="C6" s="9" t="n">
        <v>43100</v>
      </c>
      <c r="D6" s="9" t="n">
        <v>43465</v>
      </c>
      <c r="E6" s="9" t="n">
        <v>43830</v>
      </c>
      <c r="F6" s="9" t="n">
        <v>44196</v>
      </c>
      <c r="G6" s="9" t="n">
        <v>44561</v>
      </c>
      <c r="H6" s="9" t="n">
        <v>44926</v>
      </c>
      <c r="I6" s="9" t="n">
        <v>45291</v>
      </c>
      <c r="J6" s="9" t="n">
        <v>45657</v>
      </c>
      <c r="K6" s="9" t="n">
        <v>46022</v>
      </c>
    </row>
    <row r="7">
      <c r="A7" s="8" t="inlineStr">
        <is>
          <t>CURRENT ASSETS</t>
        </is>
      </c>
    </row>
    <row r="8">
      <c r="A8" t="inlineStr">
        <is>
          <t>Cash and cash equivalents</t>
        </is>
      </c>
      <c r="B8" s="4" t="n">
        <v>12918</v>
      </c>
      <c r="C8" s="4" t="n">
        <v>10715</v>
      </c>
      <c r="D8" s="4" t="n">
        <v>16701</v>
      </c>
      <c r="E8" s="4" t="n">
        <v>18498</v>
      </c>
      <c r="F8" s="4" t="n">
        <v>26465</v>
      </c>
      <c r="G8" s="4" t="n">
        <v>20945</v>
      </c>
      <c r="H8" s="4" t="n">
        <v>21879</v>
      </c>
      <c r="I8" s="4" t="n">
        <v>24048</v>
      </c>
      <c r="J8" s="4" t="n">
        <v>23466</v>
      </c>
      <c r="K8" s="4" t="n">
        <v>30708</v>
      </c>
    </row>
    <row r="9">
      <c r="A9" t="inlineStr">
        <is>
          <t>Marketable securities</t>
        </is>
      </c>
      <c r="B9" s="4" t="n">
        <v>73415</v>
      </c>
      <c r="C9" s="4" t="n">
        <v>91156</v>
      </c>
      <c r="D9" s="4" t="n">
        <v>92439</v>
      </c>
      <c r="E9" s="4" t="n">
        <v>101177</v>
      </c>
      <c r="F9" s="4" t="n">
        <v>110229</v>
      </c>
      <c r="G9" s="4" t="n">
        <v>118704</v>
      </c>
      <c r="H9" s="4" t="n">
        <v>91883</v>
      </c>
      <c r="I9" s="4" t="n">
        <v>86868</v>
      </c>
      <c r="J9" s="4" t="n">
        <v>72191</v>
      </c>
      <c r="K9" s="4" t="n">
        <v>96135</v>
      </c>
    </row>
    <row r="10">
      <c r="A10" t="inlineStr">
        <is>
          <t>Accounts receivable, net</t>
        </is>
      </c>
      <c r="B10" s="4" t="n">
        <v>14137</v>
      </c>
      <c r="C10" s="4" t="n">
        <v>18336</v>
      </c>
      <c r="D10" s="4" t="n">
        <v>20838</v>
      </c>
      <c r="E10" s="4" t="n">
        <v>25326</v>
      </c>
      <c r="F10" s="4" t="n">
        <v>30930</v>
      </c>
      <c r="G10" s="4" t="n">
        <v>39304</v>
      </c>
      <c r="H10" s="4" t="n">
        <v>40258</v>
      </c>
      <c r="I10" s="4" t="n">
        <v>47964</v>
      </c>
      <c r="J10" s="4" t="n">
        <v>52340</v>
      </c>
      <c r="K10" s="4" t="n">
        <v>62886</v>
      </c>
    </row>
    <row r="11">
      <c r="A11" t="inlineStr">
        <is>
          <t>Income taxes receivable, net</t>
        </is>
      </c>
      <c r="B11" s="4" t="n">
        <v>95</v>
      </c>
      <c r="C11" s="4" t="n">
        <v>369</v>
      </c>
      <c r="D11" s="4" t="n">
        <v>355</v>
      </c>
      <c r="E11" s="4" t="n">
        <v>2166</v>
      </c>
      <c r="F11" s="4" t="n">
        <v>454</v>
      </c>
      <c r="G11" s="4" t="n">
        <v>966</v>
      </c>
      <c r="H11" s="4" t="n"/>
      <c r="I11" s="4" t="n"/>
      <c r="J11" s="4" t="n"/>
      <c r="K11" s="4" t="n"/>
    </row>
    <row r="12">
      <c r="A12" t="inlineStr">
        <is>
          <t>Inventory</t>
        </is>
      </c>
      <c r="B12" s="4" t="n">
        <v>268</v>
      </c>
      <c r="C12" s="4" t="n">
        <v>749</v>
      </c>
      <c r="D12" s="4" t="n">
        <v>1107</v>
      </c>
      <c r="E12" s="4" t="n">
        <v>999</v>
      </c>
      <c r="F12" s="4" t="n">
        <v>728</v>
      </c>
      <c r="G12" s="4" t="n">
        <v>1170</v>
      </c>
      <c r="H12" s="4" t="n"/>
      <c r="I12" s="4" t="n"/>
      <c r="J12" s="4" t="n"/>
      <c r="K12" s="4" t="n"/>
    </row>
    <row r="13">
      <c r="A13" t="inlineStr">
        <is>
          <t>Other current assets</t>
        </is>
      </c>
      <c r="B13" s="4" t="n">
        <v>4575</v>
      </c>
      <c r="C13" s="4" t="n">
        <v>2983</v>
      </c>
      <c r="D13" s="4" t="n">
        <v>4236</v>
      </c>
      <c r="E13" s="4" t="n">
        <v>4412</v>
      </c>
      <c r="F13" s="4" t="n">
        <v>5490</v>
      </c>
      <c r="G13" s="4" t="n">
        <v>7054</v>
      </c>
      <c r="H13" s="4" t="n">
        <v>10775</v>
      </c>
      <c r="I13" s="4" t="n">
        <v>12650</v>
      </c>
      <c r="J13" s="4" t="n">
        <v>15714</v>
      </c>
      <c r="K13" s="4" t="n">
        <v>16309</v>
      </c>
    </row>
    <row r="14">
      <c r="A14" s="8" t="inlineStr">
        <is>
          <t>Total current assets</t>
        </is>
      </c>
      <c r="B14" s="10">
        <f>SUM(B8:B13)</f>
        <v/>
      </c>
      <c r="C14" s="10">
        <f>SUM(C8:C13)</f>
        <v/>
      </c>
      <c r="D14" s="10">
        <f>SUM(D8:D13)</f>
        <v/>
      </c>
      <c r="E14" s="10">
        <f>SUM(E8:E13)</f>
        <v/>
      </c>
      <c r="F14" s="10">
        <f>SUM(F8:F13)</f>
        <v/>
      </c>
      <c r="G14" s="10">
        <f>SUM(G8:G13)</f>
        <v/>
      </c>
      <c r="H14" s="10">
        <f>SUM(H8:H13)</f>
        <v/>
      </c>
      <c r="I14" s="10">
        <f>SUM(I8:I13)</f>
        <v/>
      </c>
      <c r="J14" s="10">
        <f>SUM(J8:J13)</f>
        <v/>
      </c>
      <c r="K14" s="10">
        <f>SUM(K8:K13)</f>
        <v/>
      </c>
    </row>
    <row r="15"/>
    <row r="16">
      <c r="A16" s="8" t="inlineStr">
        <is>
          <t>NON-CURRENT ASSETS</t>
        </is>
      </c>
    </row>
    <row r="17">
      <c r="A17" t="inlineStr">
        <is>
          <t>Non-marketable securities</t>
        </is>
      </c>
      <c r="B17" s="4" t="n">
        <v>5878</v>
      </c>
      <c r="C17" s="4" t="n">
        <v>7813</v>
      </c>
      <c r="D17" s="4" t="n">
        <v>13859</v>
      </c>
      <c r="E17" s="4" t="n">
        <v>13078</v>
      </c>
      <c r="F17" s="4" t="n">
        <v>20703</v>
      </c>
      <c r="G17" s="4" t="n">
        <v>29549</v>
      </c>
      <c r="H17" s="4" t="n">
        <v>30492</v>
      </c>
      <c r="I17" s="4" t="n">
        <v>31008</v>
      </c>
      <c r="J17" s="4" t="n">
        <v>37982</v>
      </c>
      <c r="K17" s="4" t="n">
        <v>68687</v>
      </c>
    </row>
    <row r="18">
      <c r="A18" t="inlineStr">
        <is>
          <t>Deferred income taxes</t>
        </is>
      </c>
      <c r="B18" s="4" t="n">
        <v>383</v>
      </c>
      <c r="C18" s="4" t="n">
        <v>680</v>
      </c>
      <c r="D18" s="4" t="n">
        <v>737</v>
      </c>
      <c r="E18" s="4" t="n">
        <v>721</v>
      </c>
      <c r="F18" s="4" t="n">
        <v>1084</v>
      </c>
      <c r="G18" s="4" t="n">
        <v>1284</v>
      </c>
      <c r="H18" s="4" t="n">
        <v>5261</v>
      </c>
      <c r="I18" s="4" t="n">
        <v>12169</v>
      </c>
      <c r="J18" s="4" t="n">
        <v>17180</v>
      </c>
      <c r="K18" s="4" t="n">
        <v>9113</v>
      </c>
    </row>
    <row r="19">
      <c r="A19" t="inlineStr">
        <is>
          <t>Property and equipment, net</t>
        </is>
      </c>
      <c r="B19" s="4" t="n">
        <v>34234</v>
      </c>
      <c r="C19" s="4" t="n">
        <v>42383</v>
      </c>
      <c r="D19" s="4" t="n">
        <v>59719</v>
      </c>
      <c r="E19" s="4" t="n">
        <v>73646</v>
      </c>
      <c r="F19" s="4" t="n">
        <v>84749</v>
      </c>
      <c r="G19" s="4" t="n">
        <v>97599</v>
      </c>
      <c r="H19" s="4" t="n">
        <v>112668</v>
      </c>
      <c r="I19" s="4" t="n">
        <v>134345</v>
      </c>
      <c r="J19" s="4" t="n">
        <v>171036</v>
      </c>
      <c r="K19" s="4" t="n">
        <v>246597</v>
      </c>
    </row>
    <row r="20">
      <c r="A20" t="inlineStr">
        <is>
          <t>Operating lease assets</t>
        </is>
      </c>
      <c r="B20" s="4" t="n"/>
      <c r="C20" s="4" t="n"/>
      <c r="D20" s="4" t="n"/>
      <c r="E20" s="4" t="n">
        <v>10941</v>
      </c>
      <c r="F20" s="4" t="n">
        <v>12211</v>
      </c>
      <c r="G20" s="4" t="n">
        <v>12959</v>
      </c>
      <c r="H20" s="4" t="n">
        <v>14381</v>
      </c>
      <c r="I20" s="4" t="n">
        <v>14091</v>
      </c>
      <c r="J20" s="4" t="n">
        <v>13588</v>
      </c>
      <c r="K20" s="4" t="n">
        <v>15221</v>
      </c>
    </row>
    <row r="21">
      <c r="A21" t="inlineStr">
        <is>
          <t>Goodwill</t>
        </is>
      </c>
      <c r="B21" s="4" t="n">
        <v>16468</v>
      </c>
      <c r="C21" s="4" t="n">
        <v>16747</v>
      </c>
      <c r="D21" s="4" t="n">
        <v>17888</v>
      </c>
      <c r="E21" s="4" t="n">
        <v>20624</v>
      </c>
      <c r="F21" s="4" t="n">
        <v>21175</v>
      </c>
      <c r="G21" s="4" t="n">
        <v>22956</v>
      </c>
      <c r="H21" s="4" t="n">
        <v>28960</v>
      </c>
      <c r="I21" s="4" t="n">
        <v>29198</v>
      </c>
      <c r="J21" s="4" t="n">
        <v>31885</v>
      </c>
      <c r="K21" s="4" t="n">
        <v>33380</v>
      </c>
    </row>
    <row r="22">
      <c r="A22" t="inlineStr">
        <is>
          <t>Intangible assets, net</t>
        </is>
      </c>
      <c r="B22" s="4" t="n">
        <v>3307</v>
      </c>
      <c r="C22" s="4" t="n">
        <v>2692</v>
      </c>
      <c r="D22" s="4" t="n">
        <v>2220</v>
      </c>
      <c r="E22" s="4" t="n">
        <v>1979</v>
      </c>
      <c r="F22" s="4" t="n">
        <v>1445</v>
      </c>
      <c r="G22" s="4" t="n">
        <v>1417</v>
      </c>
      <c r="H22" s="4" t="n"/>
      <c r="I22" s="4" t="n"/>
      <c r="J22" s="4" t="n"/>
      <c r="K22" s="4" t="n"/>
    </row>
    <row r="23">
      <c r="A23" t="inlineStr">
        <is>
          <t>Other non-current assets</t>
        </is>
      </c>
      <c r="B23" s="4" t="n">
        <v>1819</v>
      </c>
      <c r="C23" s="4" t="n">
        <v>2672</v>
      </c>
      <c r="D23" s="4" t="n">
        <v>2693</v>
      </c>
      <c r="E23" s="4" t="n">
        <v>2342</v>
      </c>
      <c r="F23" s="4" t="n">
        <v>3953</v>
      </c>
      <c r="G23" s="4" t="n">
        <v>5361</v>
      </c>
      <c r="H23" s="4" t="n">
        <v>8707</v>
      </c>
      <c r="I23" s="4" t="n">
        <v>10051</v>
      </c>
      <c r="J23" s="4" t="n">
        <v>14874</v>
      </c>
      <c r="K23" s="4" t="n">
        <v>16245</v>
      </c>
    </row>
    <row r="24">
      <c r="A24" s="8" t="inlineStr">
        <is>
          <t>Total assets</t>
        </is>
      </c>
      <c r="B24" s="10">
        <f>B14+SUM(B17:B23)</f>
        <v/>
      </c>
      <c r="C24" s="10">
        <f>C14+SUM(C17:C23)</f>
        <v/>
      </c>
      <c r="D24" s="10">
        <f>D14+SUM(D17:D23)</f>
        <v/>
      </c>
      <c r="E24" s="10">
        <f>E14+SUM(E17:E23)</f>
        <v/>
      </c>
      <c r="F24" s="10">
        <f>F14+SUM(F17:F23)</f>
        <v/>
      </c>
      <c r="G24" s="10">
        <f>G14+SUM(G17:G23)</f>
        <v/>
      </c>
      <c r="H24" s="10">
        <f>H14+SUM(H17:H23)</f>
        <v/>
      </c>
      <c r="I24" s="10">
        <f>I14+SUM(I17:I23)</f>
        <v/>
      </c>
      <c r="J24" s="10">
        <f>J14+SUM(J17:J23)</f>
        <v/>
      </c>
      <c r="K24" s="10">
        <f>K14+SUM(K17:K23)</f>
        <v/>
      </c>
    </row>
    <row r="25"/>
    <row r="26">
      <c r="A26" s="8" t="inlineStr">
        <is>
          <t>CURRENT LIABILITIES</t>
        </is>
      </c>
    </row>
    <row r="27">
      <c r="A27" t="inlineStr">
        <is>
          <t>Accounts payable</t>
        </is>
      </c>
      <c r="B27" s="4" t="n">
        <v>2041</v>
      </c>
      <c r="C27" s="4" t="n">
        <v>3137</v>
      </c>
      <c r="D27" s="4" t="n">
        <v>4378</v>
      </c>
      <c r="E27" s="4" t="n">
        <v>5561</v>
      </c>
      <c r="F27" s="4" t="n">
        <v>5589</v>
      </c>
      <c r="G27" s="4" t="n">
        <v>6037</v>
      </c>
      <c r="H27" s="4" t="n">
        <v>5128</v>
      </c>
      <c r="I27" s="4" t="n">
        <v>7493</v>
      </c>
      <c r="J27" s="4" t="n">
        <v>7987</v>
      </c>
      <c r="K27" s="4" t="n">
        <v>12200</v>
      </c>
    </row>
    <row r="28">
      <c r="A28" t="inlineStr">
        <is>
          <t>Accrued compensation and benefits</t>
        </is>
      </c>
      <c r="B28" s="4" t="n">
        <v>3976</v>
      </c>
      <c r="C28" s="4" t="n">
        <v>4581</v>
      </c>
      <c r="D28" s="4" t="n">
        <v>6839</v>
      </c>
      <c r="E28" s="4" t="n">
        <v>8495</v>
      </c>
      <c r="F28" s="4" t="n">
        <v>11086</v>
      </c>
      <c r="G28" s="4" t="n">
        <v>13889</v>
      </c>
      <c r="H28" s="4" t="n">
        <v>14028</v>
      </c>
      <c r="I28" s="4" t="n">
        <v>15140</v>
      </c>
      <c r="J28" s="4" t="n">
        <v>15069</v>
      </c>
      <c r="K28" s="4" t="n">
        <v>17546</v>
      </c>
    </row>
    <row r="29">
      <c r="A29" t="inlineStr">
        <is>
          <t>Accrued expenses and other current liabilities</t>
        </is>
      </c>
      <c r="B29" s="4" t="n">
        <v>6144</v>
      </c>
      <c r="C29" s="4" t="n">
        <v>10177</v>
      </c>
      <c r="D29" s="4" t="n">
        <v>16958</v>
      </c>
      <c r="E29" s="4" t="n">
        <v>23067</v>
      </c>
      <c r="F29" s="4" t="n">
        <v>28631</v>
      </c>
      <c r="G29" s="4" t="n">
        <v>31236</v>
      </c>
      <c r="H29" s="4" t="n">
        <v>37866</v>
      </c>
      <c r="I29" s="4" t="n">
        <v>46168</v>
      </c>
      <c r="J29" s="4" t="n">
        <v>51228</v>
      </c>
      <c r="K29" s="4" t="n">
        <v>55557</v>
      </c>
    </row>
    <row r="30">
      <c r="A30" t="inlineStr">
        <is>
          <t>Accrued revenue share</t>
        </is>
      </c>
      <c r="B30" s="4" t="n">
        <v>2942</v>
      </c>
      <c r="C30" s="4" t="n">
        <v>3975</v>
      </c>
      <c r="D30" s="4" t="n">
        <v>4592</v>
      </c>
      <c r="E30" s="4" t="n">
        <v>5916</v>
      </c>
      <c r="F30" s="4" t="n">
        <v>7500</v>
      </c>
      <c r="G30" s="4" t="n">
        <v>8996</v>
      </c>
      <c r="H30" s="4" t="n">
        <v>8370</v>
      </c>
      <c r="I30" s="4" t="n">
        <v>8876</v>
      </c>
      <c r="J30" s="4" t="n">
        <v>9802</v>
      </c>
      <c r="K30" s="4" t="n">
        <v>10864</v>
      </c>
    </row>
    <row r="31">
      <c r="A31" t="inlineStr">
        <is>
          <t>Deferred revenue</t>
        </is>
      </c>
      <c r="B31" s="4" t="n">
        <v>1099</v>
      </c>
      <c r="C31" s="4" t="n">
        <v>1432</v>
      </c>
      <c r="D31" s="4" t="n">
        <v>1784</v>
      </c>
      <c r="E31" s="4" t="n">
        <v>1908</v>
      </c>
      <c r="F31" s="4" t="n">
        <v>2543</v>
      </c>
      <c r="G31" s="4" t="n">
        <v>3288</v>
      </c>
      <c r="H31" s="4" t="n">
        <v>3908</v>
      </c>
      <c r="I31" s="4" t="n">
        <v>4137</v>
      </c>
      <c r="J31" s="4" t="n">
        <v>5036</v>
      </c>
      <c r="K31" s="4" t="n">
        <v>6578</v>
      </c>
    </row>
    <row r="32">
      <c r="A32" t="inlineStr">
        <is>
          <t>Income taxes payable, net</t>
        </is>
      </c>
      <c r="B32" s="4" t="n">
        <v>554</v>
      </c>
      <c r="C32" s="4" t="n">
        <v>881</v>
      </c>
      <c r="D32" s="4" t="n">
        <v>69</v>
      </c>
      <c r="E32" s="4" t="n">
        <v>274</v>
      </c>
      <c r="F32" s="4" t="n">
        <v>1485</v>
      </c>
      <c r="G32" s="4" t="n">
        <v>808</v>
      </c>
      <c r="H32" s="4" t="n"/>
      <c r="I32" s="4" t="n"/>
      <c r="J32" s="4" t="n"/>
      <c r="K32" s="4" t="n"/>
    </row>
    <row r="33">
      <c r="A33" s="8" t="inlineStr">
        <is>
          <t>Total current liabilities</t>
        </is>
      </c>
      <c r="B33" s="10">
        <f>SUM(B27:B32)</f>
        <v/>
      </c>
      <c r="C33" s="10">
        <f>SUM(C27:C32)</f>
        <v/>
      </c>
      <c r="D33" s="10">
        <f>SUM(D27:D32)</f>
        <v/>
      </c>
      <c r="E33" s="10">
        <f>SUM(E27:E32)</f>
        <v/>
      </c>
      <c r="F33" s="10">
        <f>SUM(F27:F32)</f>
        <v/>
      </c>
      <c r="G33" s="10">
        <f>SUM(G27:G32)</f>
        <v/>
      </c>
      <c r="H33" s="10">
        <f>SUM(H27:H32)</f>
        <v/>
      </c>
      <c r="I33" s="10">
        <f>SUM(I27:I32)</f>
        <v/>
      </c>
      <c r="J33" s="10">
        <f>SUM(J27:J32)</f>
        <v/>
      </c>
      <c r="K33" s="10">
        <f>SUM(K27:K32)</f>
        <v/>
      </c>
    </row>
    <row r="34"/>
    <row r="35">
      <c r="A35" s="8" t="inlineStr">
        <is>
          <t>NON-CURRENT LIABILITIES</t>
        </is>
      </c>
    </row>
    <row r="36">
      <c r="A36" t="inlineStr">
        <is>
          <t>Long-term debt</t>
        </is>
      </c>
      <c r="B36" s="4" t="n">
        <v>3935</v>
      </c>
      <c r="C36" s="4" t="n">
        <v>3969</v>
      </c>
      <c r="D36" s="4" t="n">
        <v>4012</v>
      </c>
      <c r="E36" s="4" t="n">
        <v>4554</v>
      </c>
      <c r="F36" s="4" t="n">
        <v>13932</v>
      </c>
      <c r="G36" s="4" t="n">
        <v>14817</v>
      </c>
      <c r="H36" s="4" t="n">
        <v>14701</v>
      </c>
      <c r="I36" s="4" t="n">
        <v>13253</v>
      </c>
      <c r="J36" s="4" t="n">
        <v>10883</v>
      </c>
      <c r="K36" s="4" t="n">
        <v>46547</v>
      </c>
    </row>
    <row r="37">
      <c r="A37" t="inlineStr">
        <is>
          <t>Deferred revenue, non-current</t>
        </is>
      </c>
      <c r="B37" s="4" t="n">
        <v>202</v>
      </c>
      <c r="C37" s="4" t="n">
        <v>340</v>
      </c>
      <c r="D37" s="4" t="n">
        <v>396</v>
      </c>
      <c r="E37" s="4" t="n">
        <v>358</v>
      </c>
      <c r="F37" s="4" t="n">
        <v>481</v>
      </c>
      <c r="G37" s="4" t="n">
        <v>535</v>
      </c>
      <c r="H37" s="4" t="n">
        <v>599</v>
      </c>
      <c r="I37" s="4" t="n">
        <v>911</v>
      </c>
      <c r="J37" s="4" t="n"/>
      <c r="K37" s="4" t="n"/>
    </row>
    <row r="38">
      <c r="A38" t="inlineStr">
        <is>
          <t>Income taxes payable, non-current</t>
        </is>
      </c>
      <c r="B38" s="4" t="n">
        <v>4677</v>
      </c>
      <c r="C38" s="4" t="n">
        <v>12812</v>
      </c>
      <c r="D38" s="4" t="n">
        <v>11327</v>
      </c>
      <c r="E38" s="4" t="n">
        <v>9885</v>
      </c>
      <c r="F38" s="4" t="n">
        <v>8849</v>
      </c>
      <c r="G38" s="4" t="n">
        <v>9176</v>
      </c>
      <c r="H38" s="4" t="n">
        <v>9258</v>
      </c>
      <c r="I38" s="4" t="n">
        <v>8474</v>
      </c>
      <c r="J38" s="4" t="n">
        <v>8782</v>
      </c>
      <c r="K38" s="4" t="n">
        <v>9531</v>
      </c>
    </row>
    <row r="39">
      <c r="A39" t="inlineStr">
        <is>
          <t>Deferred income taxes, non-current</t>
        </is>
      </c>
      <c r="B39" s="4" t="n">
        <v>226</v>
      </c>
      <c r="C39" s="4" t="n">
        <v>430</v>
      </c>
      <c r="D39" s="4" t="n">
        <v>1264</v>
      </c>
      <c r="E39" s="4" t="n">
        <v>1701</v>
      </c>
      <c r="F39" s="4" t="n">
        <v>3561</v>
      </c>
      <c r="G39" s="4" t="n">
        <v>5257</v>
      </c>
      <c r="H39" s="4" t="n">
        <v>514</v>
      </c>
      <c r="I39" s="4" t="n">
        <v>485</v>
      </c>
      <c r="J39" s="4" t="n"/>
      <c r="K39" s="4" t="n"/>
    </row>
    <row r="40">
      <c r="A40" t="inlineStr">
        <is>
          <t>Operating lease liabilities, non-current</t>
        </is>
      </c>
      <c r="B40" s="4" t="n"/>
      <c r="C40" s="4" t="n"/>
      <c r="D40" s="4" t="n"/>
      <c r="E40" s="4" t="n">
        <v>10214</v>
      </c>
      <c r="F40" s="4" t="n">
        <v>11146</v>
      </c>
      <c r="G40" s="4" t="n">
        <v>11389</v>
      </c>
      <c r="H40" s="4" t="n">
        <v>12501</v>
      </c>
      <c r="I40" s="4" t="n">
        <v>12460</v>
      </c>
      <c r="J40" s="4" t="n">
        <v>11691</v>
      </c>
      <c r="K40" s="4" t="n">
        <v>12744</v>
      </c>
    </row>
    <row r="41">
      <c r="A41" t="inlineStr">
        <is>
          <t>Other long-term liabilities</t>
        </is>
      </c>
      <c r="B41" s="4" t="n">
        <v>2665</v>
      </c>
      <c r="C41" s="4" t="n">
        <v>3059</v>
      </c>
      <c r="D41" s="4" t="n">
        <v>3545</v>
      </c>
      <c r="E41" s="4" t="n">
        <v>2534</v>
      </c>
      <c r="F41" s="4" t="n">
        <v>2269</v>
      </c>
      <c r="G41" s="4" t="n">
        <v>2205</v>
      </c>
      <c r="H41" s="4" t="n">
        <v>2247</v>
      </c>
      <c r="I41" s="4" t="n">
        <v>1616</v>
      </c>
      <c r="J41" s="4" t="n">
        <v>4694</v>
      </c>
      <c r="K41" s="4" t="n">
        <v>8449</v>
      </c>
    </row>
    <row r="42">
      <c r="A42" s="8" t="inlineStr">
        <is>
          <t>Total liabilities</t>
        </is>
      </c>
      <c r="B42" s="10">
        <f>B33+SUM(B36:B41)</f>
        <v/>
      </c>
      <c r="C42" s="10">
        <f>C33+SUM(C36:C41)</f>
        <v/>
      </c>
      <c r="D42" s="10">
        <f>D33+SUM(D36:D41)</f>
        <v/>
      </c>
      <c r="E42" s="10">
        <f>E33+SUM(E36:E41)</f>
        <v/>
      </c>
      <c r="F42" s="10">
        <f>F33+SUM(F36:F41)</f>
        <v/>
      </c>
      <c r="G42" s="10">
        <f>G33+SUM(G36:G41)</f>
        <v/>
      </c>
      <c r="H42" s="10">
        <f>H33+SUM(H36:H41)</f>
        <v/>
      </c>
      <c r="I42" s="10">
        <f>I33+SUM(I36:I41)</f>
        <v/>
      </c>
      <c r="J42" s="10">
        <f>J33+SUM(J36:J41)</f>
        <v/>
      </c>
      <c r="K42" s="10">
        <f>K33+SUM(K36:K41)</f>
        <v/>
      </c>
    </row>
    <row r="43"/>
    <row r="44">
      <c r="A44" s="8" t="inlineStr">
        <is>
          <t>STOCKHOLDERS' EQUITY</t>
        </is>
      </c>
    </row>
    <row r="45">
      <c r="A45" t="inlineStr">
        <is>
          <t>Class A/B/C stock and additional paid-in capital</t>
        </is>
      </c>
      <c r="B45" s="4" t="n">
        <v>36307</v>
      </c>
      <c r="C45" s="4" t="n">
        <v>40247</v>
      </c>
      <c r="D45" s="4" t="n">
        <v>45049</v>
      </c>
      <c r="E45" s="4" t="n">
        <v>50552</v>
      </c>
      <c r="F45" s="4" t="n">
        <v>58510</v>
      </c>
      <c r="G45" s="4" t="n">
        <v>61774</v>
      </c>
      <c r="H45" s="4" t="n">
        <v>68184</v>
      </c>
      <c r="I45" s="4" t="n">
        <v>76534</v>
      </c>
      <c r="J45" s="4" t="n">
        <v>84800</v>
      </c>
      <c r="K45" s="4" t="n">
        <v>93126</v>
      </c>
    </row>
    <row r="46">
      <c r="A46" t="inlineStr">
        <is>
          <t>Accumulated other comprehensive income (loss)</t>
        </is>
      </c>
      <c r="B46" s="4" t="n">
        <v>-2402</v>
      </c>
      <c r="C46" s="4" t="n">
        <v>-992</v>
      </c>
      <c r="D46" s="4" t="n">
        <v>-2306</v>
      </c>
      <c r="E46" s="4" t="n">
        <v>-1232</v>
      </c>
      <c r="F46" s="4" t="n">
        <v>633</v>
      </c>
      <c r="G46" s="4" t="n">
        <v>-1623</v>
      </c>
      <c r="H46" s="4" t="n">
        <v>-7603</v>
      </c>
      <c r="I46" s="4" t="n">
        <v>-4402</v>
      </c>
      <c r="J46" s="4" t="n">
        <v>-4800</v>
      </c>
      <c r="K46" s="4" t="n">
        <v>-1916</v>
      </c>
    </row>
    <row r="47">
      <c r="A47" t="inlineStr">
        <is>
          <t>Retained earnings</t>
        </is>
      </c>
      <c r="B47" s="4" t="n">
        <v>105131</v>
      </c>
      <c r="C47" s="4" t="n">
        <v>113247</v>
      </c>
      <c r="D47" s="4" t="n">
        <v>134885</v>
      </c>
      <c r="E47" s="4" t="n">
        <v>152122</v>
      </c>
      <c r="F47" s="4" t="n">
        <v>163401</v>
      </c>
      <c r="G47" s="4" t="n">
        <v>191484</v>
      </c>
      <c r="H47" s="4" t="n">
        <v>195563</v>
      </c>
      <c r="I47" s="4" t="n">
        <v>211247</v>
      </c>
      <c r="J47" s="4" t="n">
        <v>245084</v>
      </c>
      <c r="K47" s="4" t="n">
        <v>324055</v>
      </c>
    </row>
    <row r="48">
      <c r="A48" s="8" t="inlineStr">
        <is>
          <t>Total stockholders' equity</t>
        </is>
      </c>
      <c r="B48" s="10">
        <f>SUM(B45:B47)</f>
        <v/>
      </c>
      <c r="C48" s="10">
        <f>SUM(C45:C47)</f>
        <v/>
      </c>
      <c r="D48" s="10">
        <f>SUM(D45:D47)</f>
        <v/>
      </c>
      <c r="E48" s="10">
        <f>SUM(E45:E47)</f>
        <v/>
      </c>
      <c r="F48" s="10">
        <f>SUM(F45:F47)</f>
        <v/>
      </c>
      <c r="G48" s="10">
        <f>SUM(G45:G47)</f>
        <v/>
      </c>
      <c r="H48" s="10">
        <f>SUM(H45:H47)</f>
        <v/>
      </c>
      <c r="I48" s="10">
        <f>SUM(I45:I47)</f>
        <v/>
      </c>
      <c r="J48" s="10">
        <f>SUM(J45:J47)</f>
        <v/>
      </c>
      <c r="K48" s="10">
        <f>SUM(K45:K47)</f>
        <v/>
      </c>
    </row>
    <row r="49"/>
    <row r="50">
      <c r="A50" s="8" t="inlineStr">
        <is>
          <t>Total liabilities and stockholders' equity</t>
        </is>
      </c>
      <c r="B50" s="10">
        <f>B42+B48</f>
        <v/>
      </c>
      <c r="C50" s="10">
        <f>C42+C48</f>
        <v/>
      </c>
      <c r="D50" s="10">
        <f>D42+D48</f>
        <v/>
      </c>
      <c r="E50" s="10">
        <f>E42+E48</f>
        <v/>
      </c>
      <c r="F50" s="10">
        <f>F42+F48</f>
        <v/>
      </c>
      <c r="G50" s="10">
        <f>G42+G48</f>
        <v/>
      </c>
      <c r="H50" s="10">
        <f>H42+H48</f>
        <v/>
      </c>
      <c r="I50" s="10">
        <f>I42+I48</f>
        <v/>
      </c>
      <c r="J50" s="10">
        <f>J42+J48</f>
        <v/>
      </c>
      <c r="K50" s="10">
        <f>K42+K48</f>
        <v/>
      </c>
    </row>
    <row r="51"/>
    <row r="52">
      <c r="A52" s="43" t="inlineStr">
        <is>
          <t>QUARTERLY (AS-FILED 10-Q; Q4 DERIVED)</t>
        </is>
      </c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</row>
    <row r="53">
      <c r="A53" s="11" t="inlineStr">
        <is>
          <t>As-filed 10-Q period-end balances; Q4 columns are the fiscal year-end balance sheet (10-K). Blank cells follow each filing's own presentation.</t>
        </is>
      </c>
    </row>
    <row r="54"/>
    <row r="55">
      <c r="B55" s="45" t="inlineStr">
        <is>
          <t>Q1 2024</t>
        </is>
      </c>
      <c r="C55" s="45" t="inlineStr">
        <is>
          <t>Q2 2024</t>
        </is>
      </c>
      <c r="D55" s="45" t="inlineStr">
        <is>
          <t>Q3 2024</t>
        </is>
      </c>
      <c r="E55" s="45" t="inlineStr">
        <is>
          <t>Q4 2024</t>
        </is>
      </c>
      <c r="F55" s="45" t="inlineStr">
        <is>
          <t>Q1 2025</t>
        </is>
      </c>
      <c r="G55" s="45" t="inlineStr">
        <is>
          <t>Q2 2025</t>
        </is>
      </c>
      <c r="H55" s="45" t="inlineStr">
        <is>
          <t>Q3 2025</t>
        </is>
      </c>
      <c r="I55" s="45" t="inlineStr">
        <is>
          <t>Q4 2025</t>
        </is>
      </c>
      <c r="J55" s="45" t="inlineStr">
        <is>
          <t>Q1 2026</t>
        </is>
      </c>
    </row>
    <row r="56">
      <c r="A56" s="8" t="inlineStr">
        <is>
          <t>Line Item</t>
        </is>
      </c>
      <c r="B56" s="13" t="n">
        <v>45382</v>
      </c>
      <c r="C56" s="13" t="n">
        <v>45473</v>
      </c>
      <c r="D56" s="13" t="n">
        <v>45565</v>
      </c>
      <c r="E56" s="13" t="n">
        <v>45657</v>
      </c>
      <c r="F56" s="13" t="n">
        <v>45747</v>
      </c>
      <c r="G56" s="13" t="n">
        <v>45838</v>
      </c>
      <c r="H56" s="13" t="n">
        <v>45930</v>
      </c>
      <c r="I56" s="13" t="n">
        <v>46022</v>
      </c>
      <c r="J56" s="13" t="n">
        <v>46112</v>
      </c>
    </row>
    <row r="57"/>
    <row r="58">
      <c r="A58" s="8" t="inlineStr">
        <is>
          <t>CURRENT ASSETS</t>
        </is>
      </c>
    </row>
    <row r="59">
      <c r="A59" t="inlineStr">
        <is>
          <t>Cash and cash equivalents</t>
        </is>
      </c>
      <c r="B59" s="4" t="n">
        <v>24493</v>
      </c>
      <c r="C59" s="4" t="n">
        <v>27225</v>
      </c>
      <c r="D59" s="4" t="n">
        <v>19959</v>
      </c>
      <c r="E59" s="4" t="n">
        <v>23466</v>
      </c>
      <c r="F59" s="4" t="n">
        <v>23264</v>
      </c>
      <c r="G59" s="4" t="n">
        <v>21036</v>
      </c>
      <c r="H59" s="4" t="n">
        <v>23090</v>
      </c>
      <c r="I59" s="4" t="n">
        <v>30708</v>
      </c>
      <c r="J59" s="4" t="n">
        <v>38063</v>
      </c>
    </row>
    <row r="60">
      <c r="A60" t="inlineStr">
        <is>
          <t>Marketable securities</t>
        </is>
      </c>
      <c r="B60" s="4" t="n">
        <v>83597</v>
      </c>
      <c r="C60" s="4" t="n">
        <v>73500</v>
      </c>
      <c r="D60" s="4" t="n">
        <v>73271</v>
      </c>
      <c r="E60" s="4" t="n">
        <v>72191</v>
      </c>
      <c r="F60" s="4" t="n">
        <v>72064</v>
      </c>
      <c r="G60" s="4" t="n">
        <v>74112</v>
      </c>
      <c r="H60" s="4" t="n">
        <v>75406</v>
      </c>
      <c r="I60" s="4" t="n">
        <v>96135</v>
      </c>
      <c r="J60" s="4" t="n">
        <v>88777</v>
      </c>
    </row>
    <row r="61">
      <c r="A61" t="inlineStr">
        <is>
          <t>Accounts receivable, net</t>
        </is>
      </c>
      <c r="B61" s="4" t="n">
        <v>44552</v>
      </c>
      <c r="C61" s="4" t="n">
        <v>47087</v>
      </c>
      <c r="D61" s="4" t="n">
        <v>49104</v>
      </c>
      <c r="E61" s="4" t="n">
        <v>52340</v>
      </c>
      <c r="F61" s="4" t="n">
        <v>51000</v>
      </c>
      <c r="G61" s="4" t="n">
        <v>55048</v>
      </c>
      <c r="H61" s="4" t="n">
        <v>57148</v>
      </c>
      <c r="I61" s="4" t="n">
        <v>62886</v>
      </c>
      <c r="J61" s="4" t="n">
        <v>62999</v>
      </c>
    </row>
    <row r="62">
      <c r="A62" t="inlineStr">
        <is>
          <t>Income taxes receivable, net</t>
        </is>
      </c>
    </row>
    <row r="63">
      <c r="A63" t="inlineStr">
        <is>
          <t>Inventory</t>
        </is>
      </c>
    </row>
    <row r="64">
      <c r="A64" t="inlineStr">
        <is>
          <t>Other current assets</t>
        </is>
      </c>
      <c r="B64" s="4" t="n">
        <v>12829</v>
      </c>
      <c r="C64" s="4" t="n">
        <v>14183</v>
      </c>
      <c r="D64" s="4" t="n">
        <v>15207</v>
      </c>
      <c r="E64" s="4" t="n">
        <v>15714</v>
      </c>
      <c r="F64" s="4" t="n">
        <v>15724</v>
      </c>
      <c r="G64" s="4" t="n">
        <v>16020</v>
      </c>
      <c r="H64" s="4" t="n">
        <v>18303</v>
      </c>
      <c r="I64" s="4" t="n">
        <v>16309</v>
      </c>
      <c r="J64" s="4" t="n">
        <v>23914</v>
      </c>
    </row>
    <row r="65">
      <c r="A65" s="8" t="inlineStr">
        <is>
          <t>Total current assets</t>
        </is>
      </c>
      <c r="B65" s="10">
        <f>SUM(B59:B64)</f>
        <v/>
      </c>
      <c r="C65" s="10">
        <f>SUM(C59:C64)</f>
        <v/>
      </c>
      <c r="D65" s="10">
        <f>SUM(D59:D64)</f>
        <v/>
      </c>
      <c r="E65" s="10">
        <f>SUM(E59:E64)</f>
        <v/>
      </c>
      <c r="F65" s="10">
        <f>SUM(F59:F64)</f>
        <v/>
      </c>
      <c r="G65" s="10">
        <f>SUM(G59:G64)</f>
        <v/>
      </c>
      <c r="H65" s="10">
        <f>SUM(H59:H64)</f>
        <v/>
      </c>
      <c r="I65" s="10">
        <f>SUM(I59:I64)</f>
        <v/>
      </c>
      <c r="J65" s="10">
        <f>SUM(J59:J64)</f>
        <v/>
      </c>
    </row>
    <row r="66"/>
    <row r="67">
      <c r="A67" s="8" t="inlineStr">
        <is>
          <t>NON-CURRENT ASSETS</t>
        </is>
      </c>
    </row>
    <row r="68">
      <c r="A68" t="inlineStr">
        <is>
          <t>Non-marketable securities</t>
        </is>
      </c>
      <c r="B68" s="4" t="n">
        <v>33994</v>
      </c>
      <c r="C68" s="4" t="n">
        <v>34172</v>
      </c>
      <c r="D68" s="4" t="n">
        <v>36177</v>
      </c>
      <c r="E68" s="4" t="n">
        <v>37982</v>
      </c>
      <c r="F68" s="4" t="n">
        <v>51029</v>
      </c>
      <c r="G68" s="4" t="n">
        <v>52574</v>
      </c>
      <c r="H68" s="4" t="n">
        <v>63800</v>
      </c>
      <c r="I68" s="4" t="n">
        <v>68687</v>
      </c>
      <c r="J68" s="4" t="n">
        <v>106946</v>
      </c>
    </row>
    <row r="69">
      <c r="A69" t="inlineStr">
        <is>
          <t>Deferred income taxes</t>
        </is>
      </c>
      <c r="B69" s="4" t="n">
        <v>11687</v>
      </c>
      <c r="C69" s="4" t="n">
        <v>14958</v>
      </c>
      <c r="D69" s="4" t="n">
        <v>15915</v>
      </c>
      <c r="E69" s="4" t="n">
        <v>17180</v>
      </c>
      <c r="F69" s="4" t="n">
        <v>18386</v>
      </c>
      <c r="G69" s="4" t="n">
        <v>19289</v>
      </c>
      <c r="H69" s="4" t="n">
        <v>10331</v>
      </c>
      <c r="I69" s="4" t="n">
        <v>9113</v>
      </c>
      <c r="J69" s="4" t="n">
        <v>1995</v>
      </c>
    </row>
    <row r="70">
      <c r="A70" t="inlineStr">
        <is>
          <t>Property and equipment, net</t>
        </is>
      </c>
      <c r="B70" s="4" t="n">
        <v>143182</v>
      </c>
      <c r="C70" s="4" t="n">
        <v>151155</v>
      </c>
      <c r="D70" s="4" t="n">
        <v>161270</v>
      </c>
      <c r="E70" s="4" t="n">
        <v>171036</v>
      </c>
      <c r="F70" s="4" t="n">
        <v>185062</v>
      </c>
      <c r="G70" s="4" t="n">
        <v>203231</v>
      </c>
      <c r="H70" s="4" t="n">
        <v>223787</v>
      </c>
      <c r="I70" s="4" t="n">
        <v>246597</v>
      </c>
      <c r="J70" s="4" t="n">
        <v>281020</v>
      </c>
    </row>
    <row r="71">
      <c r="A71" t="inlineStr">
        <is>
          <t>Operating lease assets</t>
        </is>
      </c>
      <c r="B71" s="4" t="n">
        <v>13768</v>
      </c>
      <c r="C71" s="4" t="n">
        <v>13606</v>
      </c>
      <c r="D71" s="4" t="n">
        <v>13561</v>
      </c>
      <c r="E71" s="4" t="n">
        <v>13588</v>
      </c>
      <c r="F71" s="4" t="n">
        <v>13722</v>
      </c>
      <c r="G71" s="4" t="n">
        <v>14255</v>
      </c>
      <c r="H71" s="4" t="n">
        <v>14524</v>
      </c>
      <c r="I71" s="4" t="n">
        <v>15221</v>
      </c>
      <c r="J71" s="4" t="n">
        <v>15509</v>
      </c>
    </row>
    <row r="72">
      <c r="A72" t="inlineStr">
        <is>
          <t>Goodwill</t>
        </is>
      </c>
      <c r="B72" s="4" t="n">
        <v>29183</v>
      </c>
      <c r="C72" s="4" t="n">
        <v>29185</v>
      </c>
      <c r="D72" s="4" t="n">
        <v>31935</v>
      </c>
      <c r="E72" s="4" t="n">
        <v>31885</v>
      </c>
      <c r="F72" s="4" t="n">
        <v>32173</v>
      </c>
      <c r="G72" s="4" t="n">
        <v>32335</v>
      </c>
      <c r="H72" s="4" t="n">
        <v>33269</v>
      </c>
      <c r="I72" s="4" t="n">
        <v>33380</v>
      </c>
      <c r="J72" s="4" t="n">
        <v>57774</v>
      </c>
    </row>
    <row r="73">
      <c r="A73" t="inlineStr">
        <is>
          <t>Intangible assets, net</t>
        </is>
      </c>
      <c r="J73" s="4" t="n">
        <v>9444</v>
      </c>
    </row>
    <row r="74">
      <c r="A74" t="inlineStr">
        <is>
          <t>Other non-current assets</t>
        </is>
      </c>
      <c r="B74" s="4" t="n">
        <v>10065</v>
      </c>
      <c r="C74" s="4" t="n">
        <v>9699</v>
      </c>
      <c r="D74" s="4" t="n">
        <v>13867</v>
      </c>
      <c r="E74" s="4" t="n">
        <v>14874</v>
      </c>
      <c r="F74" s="4" t="n">
        <v>12950</v>
      </c>
      <c r="G74" s="4" t="n">
        <v>14153</v>
      </c>
      <c r="H74" s="4" t="n">
        <v>16811</v>
      </c>
      <c r="I74" s="4" t="n">
        <v>16245</v>
      </c>
      <c r="J74" s="4" t="n">
        <v>17478</v>
      </c>
    </row>
    <row r="75">
      <c r="A75" s="8" t="inlineStr">
        <is>
          <t>Total assets</t>
        </is>
      </c>
      <c r="B75" s="10">
        <f>B65+SUM(B68:B74)</f>
        <v/>
      </c>
      <c r="C75" s="10">
        <f>C65+SUM(C68:C74)</f>
        <v/>
      </c>
      <c r="D75" s="10">
        <f>D65+SUM(D68:D74)</f>
        <v/>
      </c>
      <c r="E75" s="10">
        <f>E65+SUM(E68:E74)</f>
        <v/>
      </c>
      <c r="F75" s="10">
        <f>F65+SUM(F68:F74)</f>
        <v/>
      </c>
      <c r="G75" s="10">
        <f>G65+SUM(G68:G74)</f>
        <v/>
      </c>
      <c r="H75" s="10">
        <f>H65+SUM(H68:H74)</f>
        <v/>
      </c>
      <c r="I75" s="10">
        <f>I65+SUM(I68:I74)</f>
        <v/>
      </c>
      <c r="J75" s="10">
        <f>J65+SUM(J68:J74)</f>
        <v/>
      </c>
    </row>
    <row r="76"/>
    <row r="77">
      <c r="A77" s="8" t="inlineStr">
        <is>
          <t>CURRENT LIABILITIES</t>
        </is>
      </c>
    </row>
    <row r="78">
      <c r="A78" t="inlineStr">
        <is>
          <t>Accounts payable</t>
        </is>
      </c>
      <c r="B78" s="4" t="n">
        <v>6198</v>
      </c>
      <c r="C78" s="4" t="n">
        <v>6092</v>
      </c>
      <c r="D78" s="4" t="n">
        <v>7049</v>
      </c>
      <c r="E78" s="4" t="n">
        <v>7987</v>
      </c>
      <c r="F78" s="4" t="n">
        <v>8497</v>
      </c>
      <c r="G78" s="4" t="n">
        <v>8347</v>
      </c>
      <c r="H78" s="4" t="n">
        <v>10546</v>
      </c>
      <c r="I78" s="4" t="n">
        <v>12200</v>
      </c>
      <c r="J78" s="4" t="n">
        <v>16852</v>
      </c>
    </row>
    <row r="79">
      <c r="A79" t="inlineStr">
        <is>
          <t>Accrued compensation and benefits</t>
        </is>
      </c>
      <c r="B79" s="4" t="n">
        <v>9703</v>
      </c>
      <c r="C79" s="4" t="n">
        <v>11373</v>
      </c>
      <c r="D79" s="4" t="n">
        <v>12908</v>
      </c>
      <c r="E79" s="4" t="n">
        <v>15069</v>
      </c>
      <c r="F79" s="4" t="n">
        <v>9984</v>
      </c>
      <c r="G79" s="4" t="n">
        <v>12168</v>
      </c>
      <c r="H79" s="4" t="n">
        <v>13944</v>
      </c>
      <c r="I79" s="4" t="n">
        <v>17546</v>
      </c>
      <c r="J79" s="4" t="n">
        <v>13947</v>
      </c>
    </row>
    <row r="80">
      <c r="A80" t="inlineStr">
        <is>
          <t>Accrued expenses and other current liabilities</t>
        </is>
      </c>
      <c r="B80" s="4" t="n">
        <v>48603</v>
      </c>
      <c r="C80" s="4" t="n">
        <v>47298</v>
      </c>
      <c r="D80" s="4" t="n">
        <v>46585</v>
      </c>
      <c r="E80" s="4" t="n">
        <v>51228</v>
      </c>
      <c r="F80" s="4" t="n">
        <v>58300</v>
      </c>
      <c r="G80" s="4" t="n">
        <v>52039</v>
      </c>
      <c r="H80" s="4" t="n">
        <v>59437</v>
      </c>
      <c r="I80" s="4" t="n">
        <v>55557</v>
      </c>
      <c r="J80" s="4" t="n">
        <v>63019</v>
      </c>
    </row>
    <row r="81">
      <c r="A81" t="inlineStr">
        <is>
          <t>Accrued revenue share</t>
        </is>
      </c>
      <c r="B81" s="4" t="n">
        <v>8520</v>
      </c>
      <c r="C81" s="4" t="n">
        <v>8899</v>
      </c>
      <c r="D81" s="4" t="n">
        <v>9365</v>
      </c>
      <c r="E81" s="4" t="n">
        <v>9802</v>
      </c>
      <c r="F81" s="4" t="n">
        <v>9965</v>
      </c>
      <c r="G81" s="4" t="n">
        <v>9787</v>
      </c>
      <c r="H81" s="4" t="n">
        <v>10081</v>
      </c>
      <c r="I81" s="4" t="n">
        <v>10864</v>
      </c>
      <c r="J81" s="4" t="n">
        <v>10208</v>
      </c>
    </row>
    <row r="82">
      <c r="A82" t="inlineStr">
        <is>
          <t>Deferred revenue</t>
        </is>
      </c>
      <c r="B82" s="4" t="n">
        <v>3973</v>
      </c>
      <c r="C82" s="4" t="n">
        <v>4251</v>
      </c>
      <c r="D82" s="4" t="n">
        <v>4896</v>
      </c>
      <c r="E82" s="4" t="n">
        <v>5036</v>
      </c>
      <c r="F82" s="4" t="n">
        <v>4908</v>
      </c>
      <c r="G82" s="4" t="n">
        <v>4969</v>
      </c>
      <c r="H82" s="4" t="n">
        <v>5542</v>
      </c>
      <c r="I82" s="4" t="n">
        <v>6578</v>
      </c>
      <c r="J82" s="4" t="n">
        <v>7162</v>
      </c>
    </row>
    <row r="83">
      <c r="A83" t="inlineStr">
        <is>
          <t>Income taxes payable, net</t>
        </is>
      </c>
    </row>
    <row r="84">
      <c r="A84" s="8" t="inlineStr">
        <is>
          <t>Total current liabilities</t>
        </is>
      </c>
      <c r="B84" s="10">
        <f>SUM(B78:B83)</f>
        <v/>
      </c>
      <c r="C84" s="10">
        <f>SUM(C78:C83)</f>
        <v/>
      </c>
      <c r="D84" s="10">
        <f>SUM(D78:D83)</f>
        <v/>
      </c>
      <c r="E84" s="10">
        <f>SUM(E78:E83)</f>
        <v/>
      </c>
      <c r="F84" s="10">
        <f>SUM(F78:F83)</f>
        <v/>
      </c>
      <c r="G84" s="10">
        <f>SUM(G78:G83)</f>
        <v/>
      </c>
      <c r="H84" s="10">
        <f>SUM(H78:H83)</f>
        <v/>
      </c>
      <c r="I84" s="10">
        <f>SUM(I78:I83)</f>
        <v/>
      </c>
      <c r="J84" s="10">
        <f>SUM(J78:J83)</f>
        <v/>
      </c>
    </row>
    <row r="85"/>
    <row r="86">
      <c r="A86" s="8" t="inlineStr">
        <is>
          <t>NON-CURRENT LIABILITIES</t>
        </is>
      </c>
    </row>
    <row r="87">
      <c r="A87" t="inlineStr">
        <is>
          <t>Long-term debt</t>
        </is>
      </c>
      <c r="B87" s="4" t="n">
        <v>13228</v>
      </c>
      <c r="C87" s="4" t="n">
        <v>13238</v>
      </c>
      <c r="D87" s="4" t="n">
        <v>12297</v>
      </c>
      <c r="E87" s="4" t="n">
        <v>10883</v>
      </c>
      <c r="F87" s="4" t="n">
        <v>10886</v>
      </c>
      <c r="G87" s="4" t="n">
        <v>23607</v>
      </c>
      <c r="H87" s="4" t="n">
        <v>21607</v>
      </c>
      <c r="I87" s="4" t="n">
        <v>46547</v>
      </c>
      <c r="J87" s="4" t="n">
        <v>77501</v>
      </c>
    </row>
    <row r="88">
      <c r="A88" t="inlineStr">
        <is>
          <t>Deferred revenue, non-current</t>
        </is>
      </c>
      <c r="B88" s="4" t="n">
        <v>921</v>
      </c>
      <c r="C88" s="4" t="n">
        <v>985</v>
      </c>
      <c r="D88" s="4" t="n">
        <v>1015</v>
      </c>
    </row>
    <row r="89">
      <c r="A89" t="inlineStr">
        <is>
          <t>Income taxes payable, non-current</t>
        </is>
      </c>
      <c r="B89" s="4" t="n">
        <v>9234</v>
      </c>
      <c r="C89" s="4" t="n">
        <v>7703</v>
      </c>
      <c r="D89" s="4" t="n">
        <v>8219</v>
      </c>
      <c r="E89" s="4" t="n">
        <v>8782</v>
      </c>
      <c r="F89" s="4" t="n">
        <v>9773</v>
      </c>
      <c r="G89" s="4" t="n">
        <v>10027</v>
      </c>
      <c r="H89" s="4" t="n">
        <v>10072</v>
      </c>
      <c r="I89" s="4" t="n">
        <v>9531</v>
      </c>
      <c r="J89" s="4" t="n">
        <v>12457</v>
      </c>
    </row>
    <row r="90">
      <c r="A90" t="inlineStr">
        <is>
          <t>Deferred income taxes, non-current</t>
        </is>
      </c>
      <c r="B90" s="4" t="n">
        <v>486</v>
      </c>
      <c r="C90" s="4" t="n">
        <v>717</v>
      </c>
      <c r="D90" s="4" t="n">
        <v>706</v>
      </c>
    </row>
    <row r="91">
      <c r="A91" t="inlineStr">
        <is>
          <t>Operating lease liabilities, non-current</t>
        </is>
      </c>
      <c r="B91" s="4" t="n">
        <v>11957</v>
      </c>
      <c r="C91" s="4" t="n">
        <v>11708</v>
      </c>
      <c r="D91" s="4" t="n">
        <v>11654</v>
      </c>
      <c r="E91" s="4" t="n">
        <v>11691</v>
      </c>
      <c r="F91" s="4" t="n">
        <v>11678</v>
      </c>
      <c r="G91" s="4" t="n">
        <v>11952</v>
      </c>
      <c r="H91" s="4" t="n">
        <v>12106</v>
      </c>
      <c r="I91" s="4" t="n">
        <v>12744</v>
      </c>
      <c r="J91" s="4" t="n">
        <v>12983</v>
      </c>
    </row>
    <row r="92">
      <c r="A92" t="inlineStr">
        <is>
          <t>Other long-term liabilities</t>
        </is>
      </c>
      <c r="B92" s="4" t="n">
        <v>1683</v>
      </c>
      <c r="C92" s="4" t="n">
        <v>1753</v>
      </c>
      <c r="D92" s="4" t="n">
        <v>1453</v>
      </c>
      <c r="E92" s="4" t="n">
        <v>4694</v>
      </c>
      <c r="F92" s="4" t="n">
        <v>6116</v>
      </c>
      <c r="G92" s="4" t="n">
        <v>6241</v>
      </c>
      <c r="H92" s="4" t="n">
        <v>6267</v>
      </c>
      <c r="I92" s="4" t="n">
        <v>8449</v>
      </c>
      <c r="J92" s="4" t="n">
        <v>11044</v>
      </c>
    </row>
    <row r="93">
      <c r="A93" s="8" t="inlineStr">
        <is>
          <t>Total liabilities</t>
        </is>
      </c>
      <c r="B93" s="10">
        <f>B84+SUM(B87:B92)</f>
        <v/>
      </c>
      <c r="C93" s="10">
        <f>C84+SUM(C87:C92)</f>
        <v/>
      </c>
      <c r="D93" s="10">
        <f>D84+SUM(D87:D92)</f>
        <v/>
      </c>
      <c r="E93" s="10">
        <f>E84+SUM(E87:E92)</f>
        <v/>
      </c>
      <c r="F93" s="10">
        <f>F84+SUM(F87:F92)</f>
        <v/>
      </c>
      <c r="G93" s="10">
        <f>G84+SUM(G87:G92)</f>
        <v/>
      </c>
      <c r="H93" s="10">
        <f>H84+SUM(H87:H92)</f>
        <v/>
      </c>
      <c r="I93" s="10">
        <f>I84+SUM(I87:I92)</f>
        <v/>
      </c>
      <c r="J93" s="10">
        <f>J84+SUM(J87:J92)</f>
        <v/>
      </c>
    </row>
    <row r="94"/>
    <row r="95">
      <c r="A95" s="8" t="inlineStr">
        <is>
          <t>STOCKHOLDERS' EQUITY</t>
        </is>
      </c>
    </row>
    <row r="96">
      <c r="A96" t="inlineStr">
        <is>
          <t>Class A/B/C stock and additional paid-in capital</t>
        </is>
      </c>
      <c r="B96" s="4" t="n">
        <v>77913</v>
      </c>
      <c r="C96" s="4" t="n">
        <v>79732</v>
      </c>
      <c r="D96" s="4" t="n">
        <v>82030</v>
      </c>
      <c r="E96" s="4" t="n">
        <v>84800</v>
      </c>
      <c r="F96" s="4" t="n">
        <v>86725</v>
      </c>
      <c r="G96" s="4" t="n">
        <v>89283</v>
      </c>
      <c r="H96" s="4" t="n">
        <v>91695</v>
      </c>
      <c r="I96" s="4" t="n">
        <v>93126</v>
      </c>
      <c r="J96" s="4" t="n">
        <v>96902</v>
      </c>
    </row>
    <row r="97">
      <c r="A97" t="inlineStr">
        <is>
          <t>Accumulated other comprehensive income (loss)</t>
        </is>
      </c>
      <c r="B97" s="4" t="n">
        <v>-4839</v>
      </c>
      <c r="C97" s="4" t="n">
        <v>-5012</v>
      </c>
      <c r="D97" s="4" t="n">
        <v>-3228</v>
      </c>
      <c r="E97" s="4" t="n">
        <v>-4800</v>
      </c>
      <c r="F97" s="4" t="n">
        <v>-4086</v>
      </c>
      <c r="G97" s="4" t="n">
        <v>-2127</v>
      </c>
      <c r="H97" s="4" t="n">
        <v>-2054</v>
      </c>
      <c r="I97" s="4" t="n">
        <v>-1916</v>
      </c>
      <c r="J97" s="4" t="n">
        <v>-2180</v>
      </c>
    </row>
    <row r="98">
      <c r="A98" t="inlineStr">
        <is>
          <t>Retained earnings</t>
        </is>
      </c>
      <c r="B98" s="4" t="n">
        <v>219770</v>
      </c>
      <c r="C98" s="4" t="n">
        <v>226033</v>
      </c>
      <c r="D98" s="4" t="n">
        <v>235317</v>
      </c>
      <c r="E98" s="4" t="n">
        <v>245084</v>
      </c>
      <c r="F98" s="4" t="n">
        <v>262628</v>
      </c>
      <c r="G98" s="4" t="n">
        <v>275760</v>
      </c>
      <c r="H98" s="4" t="n">
        <v>297226</v>
      </c>
      <c r="I98" s="4" t="n">
        <v>324055</v>
      </c>
      <c r="J98" s="4" t="n">
        <v>384024</v>
      </c>
    </row>
    <row r="99">
      <c r="A99" s="8" t="inlineStr">
        <is>
          <t>Total stockholders' equity</t>
        </is>
      </c>
      <c r="B99" s="10">
        <f>SUM(B96:B98)</f>
        <v/>
      </c>
      <c r="C99" s="10">
        <f>SUM(C96:C98)</f>
        <v/>
      </c>
      <c r="D99" s="10">
        <f>SUM(D96:D98)</f>
        <v/>
      </c>
      <c r="E99" s="10">
        <f>SUM(E96:E98)</f>
        <v/>
      </c>
      <c r="F99" s="10">
        <f>SUM(F96:F98)</f>
        <v/>
      </c>
      <c r="G99" s="10">
        <f>SUM(G96:G98)</f>
        <v/>
      </c>
      <c r="H99" s="10">
        <f>SUM(H96:H98)</f>
        <v/>
      </c>
      <c r="I99" s="10">
        <f>SUM(I96:I98)</f>
        <v/>
      </c>
      <c r="J99" s="10">
        <f>SUM(J96:J98)</f>
        <v/>
      </c>
    </row>
    <row r="100"/>
    <row r="101">
      <c r="A101" s="8" t="inlineStr">
        <is>
          <t>Total liabilities and stockholders' equity</t>
        </is>
      </c>
      <c r="B101" s="10">
        <f>B93+B99</f>
        <v/>
      </c>
      <c r="C101" s="10">
        <f>C93+C99</f>
        <v/>
      </c>
      <c r="D101" s="10">
        <f>D93+D99</f>
        <v/>
      </c>
      <c r="E101" s="10">
        <f>E93+E99</f>
        <v/>
      </c>
      <c r="F101" s="10">
        <f>F93+F99</f>
        <v/>
      </c>
      <c r="G101" s="10">
        <f>G93+G99</f>
        <v/>
      </c>
      <c r="H101" s="10">
        <f>H93+H99</f>
        <v/>
      </c>
      <c r="I101" s="10">
        <f>I93+I99</f>
        <v/>
      </c>
      <c r="J101" s="10">
        <f>J93+J99</f>
        <v/>
      </c>
    </row>
    <row r="102"/>
    <row r="103">
      <c r="A103" s="11" t="inlineStr">
        <is>
          <t>Source 10-Qs: Q1 2024 0001652044-24-000053; Q2 2024 0001652044-24-000079; Q3 2024 0001652044-24-000118; Q1 2025 0001652044-25-000043; Q2 2025 0001652044-25-000062; Q3 2025 0001652044-25-000091; Q1 2026 0001652044-26-000048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1"/>
  <sheetViews>
    <sheetView zoomScale="160" zoomScaleNormal="160" workbookViewId="0">
      <pane xSplit="1" ySplit="6" topLeftCell="B92" activePane="bottomRight" state="frozen"/>
      <selection pane="topRight" activeCell="A1" sqref="A1"/>
      <selection pane="bottomLeft" activeCell="A1" sqref="A1"/>
      <selection pane="bottomRight" activeCell="I27" sqref="I27"/>
    </sheetView>
  </sheetViews>
  <sheetFormatPr baseColWidth="10" defaultColWidth="8.83203125" defaultRowHeight="15"/>
  <cols>
    <col width="48" customWidth="1" style="92" min="1" max="1"/>
    <col width="16" customWidth="1" style="92" min="2" max="11"/>
  </cols>
  <sheetData>
    <row r="1">
      <c r="A1" t="inlineStr">
        <is>
          <t>Company: Alphabet Inc. (GOOGL)</t>
        </is>
      </c>
    </row>
    <row r="2">
      <c r="A2" t="inlineStr">
        <is>
          <t>Statement: Consolidated Statements of Cash Flows</t>
        </is>
      </c>
    </row>
    <row r="3">
      <c r="A3" t="inlineStr">
        <is>
          <t>Units: USD in Millions</t>
        </is>
      </c>
    </row>
    <row r="4">
      <c r="A4" t="inlineStr">
        <is>
          <t>Source: SEC 10-K filings, as filed (acc. 0001652044-26-000018 / 0001652044-24-000022 / 0001652044-22-000019 / 0001652044-20-000008 / 0001652044-18-000007; each year from the newest filing covering it)</t>
        </is>
      </c>
    </row>
    <row r="5"/>
    <row r="6">
      <c r="A6" s="8" t="inlineStr">
        <is>
          <t>Line Item</t>
        </is>
      </c>
      <c r="B6" s="9" t="n">
        <v>42735</v>
      </c>
      <c r="C6" s="9" t="n">
        <v>43100</v>
      </c>
      <c r="D6" s="9" t="n">
        <v>43465</v>
      </c>
      <c r="E6" s="9" t="n">
        <v>43830</v>
      </c>
      <c r="F6" s="9" t="n">
        <v>44196</v>
      </c>
      <c r="G6" s="9" t="n">
        <v>44561</v>
      </c>
      <c r="H6" s="9" t="n">
        <v>44926</v>
      </c>
      <c r="I6" s="9" t="n">
        <v>45291</v>
      </c>
      <c r="J6" s="9" t="n">
        <v>45657</v>
      </c>
      <c r="K6" s="9" t="n">
        <v>46022</v>
      </c>
    </row>
    <row r="7">
      <c r="A7" s="8" t="inlineStr">
        <is>
          <t>OPERATING ACTIVITIES</t>
        </is>
      </c>
    </row>
    <row r="8">
      <c r="A8" s="8" t="inlineStr">
        <is>
          <t>Net income</t>
        </is>
      </c>
      <c r="B8" s="10" t="n">
        <v>19478</v>
      </c>
      <c r="C8" s="10" t="n">
        <v>12662</v>
      </c>
      <c r="D8" s="10" t="n">
        <v>30736</v>
      </c>
      <c r="E8" s="10" t="n">
        <v>34343</v>
      </c>
      <c r="F8" s="10" t="n">
        <v>40269</v>
      </c>
      <c r="G8" s="10" t="n">
        <v>76033</v>
      </c>
      <c r="H8" s="10" t="n">
        <v>59972</v>
      </c>
      <c r="I8" s="10" t="n">
        <v>73795</v>
      </c>
      <c r="J8" s="10" t="n">
        <v>100118</v>
      </c>
      <c r="K8" s="10" t="n">
        <v>132170</v>
      </c>
    </row>
    <row r="9">
      <c r="A9" s="8" t="inlineStr">
        <is>
          <t>Adjustments:</t>
        </is>
      </c>
    </row>
    <row r="10">
      <c r="A10" t="inlineStr">
        <is>
          <t>Depreciation and impairment of property and equipment</t>
        </is>
      </c>
      <c r="B10" s="4" t="n">
        <v>5267</v>
      </c>
      <c r="C10" s="4" t="n">
        <v>6103</v>
      </c>
      <c r="D10" s="4" t="n">
        <v>8164</v>
      </c>
      <c r="E10" s="4" t="n">
        <v>10856</v>
      </c>
      <c r="F10" s="4" t="n">
        <v>12905</v>
      </c>
      <c r="G10" s="4" t="n"/>
      <c r="H10" s="4" t="n"/>
      <c r="I10" s="4" t="n"/>
      <c r="J10" s="4" t="n"/>
      <c r="K10" s="4" t="n"/>
    </row>
    <row r="11">
      <c r="A11" t="inlineStr">
        <is>
          <t>Depreciation of property and equipment</t>
        </is>
      </c>
      <c r="B11" s="4" t="n"/>
      <c r="C11" s="4" t="n"/>
      <c r="D11" s="4" t="n"/>
      <c r="E11" s="4" t="n"/>
      <c r="F11" s="4" t="n"/>
      <c r="G11" s="4" t="n">
        <v>10273</v>
      </c>
      <c r="H11" s="4" t="n">
        <v>13475</v>
      </c>
      <c r="I11" s="4" t="n">
        <v>11946</v>
      </c>
      <c r="J11" s="4" t="n">
        <v>15311</v>
      </c>
      <c r="K11" s="4" t="n">
        <v>21136</v>
      </c>
    </row>
    <row r="12">
      <c r="A12" t="inlineStr">
        <is>
          <t>Amortization and impairment of intangible assets</t>
        </is>
      </c>
      <c r="B12" s="4" t="n">
        <v>877</v>
      </c>
      <c r="C12" s="4" t="n">
        <v>812</v>
      </c>
      <c r="D12" s="4" t="n">
        <v>871</v>
      </c>
      <c r="E12" s="4" t="n">
        <v>925</v>
      </c>
      <c r="F12" s="4" t="n">
        <v>792</v>
      </c>
      <c r="G12" s="4" t="n"/>
      <c r="H12" s="4" t="n"/>
      <c r="I12" s="4" t="n"/>
      <c r="J12" s="4" t="n"/>
      <c r="K12" s="4" t="n"/>
    </row>
    <row r="13">
      <c r="A13" t="inlineStr">
        <is>
          <t>Stock-based compensation expense</t>
        </is>
      </c>
      <c r="B13" s="4" t="n">
        <v>6703</v>
      </c>
      <c r="C13" s="4" t="n">
        <v>7679</v>
      </c>
      <c r="D13" s="4" t="n">
        <v>9353</v>
      </c>
      <c r="E13" s="4" t="n">
        <v>10794</v>
      </c>
      <c r="F13" s="4" t="n">
        <v>12991</v>
      </c>
      <c r="G13" s="4" t="n">
        <v>15376</v>
      </c>
      <c r="H13" s="4" t="n">
        <v>19362</v>
      </c>
      <c r="I13" s="4" t="n">
        <v>22460</v>
      </c>
      <c r="J13" s="4" t="n">
        <v>22785</v>
      </c>
      <c r="K13" s="4" t="n">
        <v>24953</v>
      </c>
    </row>
    <row r="14">
      <c r="A14" t="inlineStr">
        <is>
          <t>Deferred income taxes</t>
        </is>
      </c>
      <c r="B14" s="4" t="n">
        <v>-38</v>
      </c>
      <c r="C14" s="4" t="n">
        <v>258</v>
      </c>
      <c r="D14" s="4" t="n">
        <v>778</v>
      </c>
      <c r="E14" s="4" t="n">
        <v>173</v>
      </c>
      <c r="F14" s="4" t="n">
        <v>1390</v>
      </c>
      <c r="G14" s="4" t="n">
        <v>1808</v>
      </c>
      <c r="H14" s="4" t="n">
        <v>-8081</v>
      </c>
      <c r="I14" s="4" t="n">
        <v>-7763</v>
      </c>
      <c r="J14" s="4" t="n">
        <v>-5257</v>
      </c>
      <c r="K14" s="4" t="n">
        <v>8348</v>
      </c>
    </row>
    <row r="15">
      <c r="A15" t="inlineStr">
        <is>
          <t>Loss on marketable and non-marketable investments, net</t>
        </is>
      </c>
      <c r="B15" s="4" t="n">
        <v>275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t="inlineStr">
        <is>
          <t>(Gain) loss on debt and equity securities, net</t>
        </is>
      </c>
      <c r="B16" s="4" t="n"/>
      <c r="C16" s="4" t="n">
        <v>37</v>
      </c>
      <c r="D16" s="4" t="n">
        <v>-6650</v>
      </c>
      <c r="E16" s="4" t="n">
        <v>-2798</v>
      </c>
      <c r="F16" s="4" t="n">
        <v>-6317</v>
      </c>
      <c r="G16" s="4" t="n">
        <v>-12270</v>
      </c>
      <c r="H16" s="4" t="n">
        <v>5519</v>
      </c>
      <c r="I16" s="4" t="n">
        <v>823</v>
      </c>
      <c r="J16" s="4" t="n">
        <v>-2671</v>
      </c>
      <c r="K16" s="4" t="n">
        <v>-24620</v>
      </c>
    </row>
    <row r="17">
      <c r="A17" t="inlineStr">
        <is>
          <t>Other</t>
        </is>
      </c>
      <c r="B17" s="4" t="n">
        <v>174</v>
      </c>
      <c r="C17" s="4" t="n">
        <v>294</v>
      </c>
      <c r="D17" s="4" t="n">
        <v>-189</v>
      </c>
      <c r="E17" s="4" t="n">
        <v>-592</v>
      </c>
      <c r="F17" s="4" t="n">
        <v>1267</v>
      </c>
      <c r="G17" s="4" t="n">
        <v>1955</v>
      </c>
      <c r="H17" s="4" t="n">
        <v>3483</v>
      </c>
      <c r="I17" s="4" t="n">
        <v>4330</v>
      </c>
      <c r="J17" s="4" t="n">
        <v>3419</v>
      </c>
      <c r="K17" s="4" t="n">
        <v>2108</v>
      </c>
    </row>
    <row r="18">
      <c r="A18" s="8" t="inlineStr">
        <is>
          <t>Changes in assets and liabilities, net of effects of acquisitions:</t>
        </is>
      </c>
    </row>
    <row r="19">
      <c r="A19" t="inlineStr">
        <is>
          <t>Accounts receivable, net</t>
        </is>
      </c>
      <c r="B19" s="4" t="n">
        <v>-2578</v>
      </c>
      <c r="C19" s="4" t="n">
        <v>-3768</v>
      </c>
      <c r="D19" s="4" t="n">
        <v>-2169</v>
      </c>
      <c r="E19" s="4" t="n">
        <v>-4340</v>
      </c>
      <c r="F19" s="4" t="n">
        <v>-6524</v>
      </c>
      <c r="G19" s="4" t="n">
        <v>-9095</v>
      </c>
      <c r="H19" s="4" t="n">
        <v>-2317</v>
      </c>
      <c r="I19" s="4" t="n">
        <v>-7833</v>
      </c>
      <c r="J19" s="4" t="n">
        <v>-5891</v>
      </c>
      <c r="K19" s="4" t="n">
        <v>-8779</v>
      </c>
    </row>
    <row r="20">
      <c r="A20" t="inlineStr">
        <is>
          <t>Income taxes, net</t>
        </is>
      </c>
      <c r="B20" s="4" t="n">
        <v>3125</v>
      </c>
      <c r="C20" s="4" t="n">
        <v>8211</v>
      </c>
      <c r="D20" s="4" t="n">
        <v>-2251</v>
      </c>
      <c r="E20" s="4" t="n">
        <v>-3128</v>
      </c>
      <c r="F20" s="4" t="n">
        <v>1209</v>
      </c>
      <c r="G20" s="4" t="n">
        <v>-625</v>
      </c>
      <c r="H20" s="4" t="n">
        <v>584</v>
      </c>
      <c r="I20" s="4" t="n">
        <v>523</v>
      </c>
      <c r="J20" s="4" t="n">
        <v>-2418</v>
      </c>
      <c r="K20" s="4" t="n">
        <v>-3226</v>
      </c>
    </row>
    <row r="21">
      <c r="A21" t="inlineStr">
        <is>
          <t>Other assets</t>
        </is>
      </c>
      <c r="B21" s="4" t="n">
        <v>312</v>
      </c>
      <c r="C21" s="4" t="n">
        <v>-2164</v>
      </c>
      <c r="D21" s="4" t="n">
        <v>-1207</v>
      </c>
      <c r="E21" s="4" t="n">
        <v>-621</v>
      </c>
      <c r="F21" s="4" t="n">
        <v>-1330</v>
      </c>
      <c r="G21" s="4" t="n">
        <v>-1846</v>
      </c>
      <c r="H21" s="4" t="n">
        <v>-5046</v>
      </c>
      <c r="I21" s="4" t="n">
        <v>-2143</v>
      </c>
      <c r="J21" s="4" t="n">
        <v>-1397</v>
      </c>
      <c r="K21" s="4" t="n">
        <v>-4542</v>
      </c>
    </row>
    <row r="22">
      <c r="A22" t="inlineStr">
        <is>
          <t>Accounts payable</t>
        </is>
      </c>
      <c r="B22" s="4" t="n">
        <v>110</v>
      </c>
      <c r="C22" s="4" t="n">
        <v>731</v>
      </c>
      <c r="D22" s="4" t="n">
        <v>1067</v>
      </c>
      <c r="E22" s="4" t="n">
        <v>428</v>
      </c>
      <c r="F22" s="4" t="n">
        <v>694</v>
      </c>
      <c r="G22" s="4" t="n">
        <v>283</v>
      </c>
      <c r="H22" s="4" t="n">
        <v>707</v>
      </c>
      <c r="I22" s="4" t="n">
        <v>664</v>
      </c>
      <c r="J22" s="4" t="n">
        <v>359</v>
      </c>
      <c r="K22" s="4" t="n">
        <v>907</v>
      </c>
    </row>
    <row r="23">
      <c r="A23" t="inlineStr">
        <is>
          <t>Accrued expenses and other liabilities</t>
        </is>
      </c>
      <c r="B23" s="4" t="n">
        <v>1515</v>
      </c>
      <c r="C23" s="4" t="n">
        <v>4891</v>
      </c>
      <c r="D23" s="4" t="n">
        <v>8614</v>
      </c>
      <c r="E23" s="4" t="n">
        <v>7170</v>
      </c>
      <c r="F23" s="4" t="n">
        <v>5504</v>
      </c>
      <c r="G23" s="4" t="n">
        <v>7304</v>
      </c>
      <c r="H23" s="4" t="n">
        <v>3915</v>
      </c>
      <c r="I23" s="4" t="n">
        <v>3937</v>
      </c>
      <c r="J23" s="4" t="n">
        <v>-1161</v>
      </c>
      <c r="K23" s="4" t="n">
        <v>12939</v>
      </c>
    </row>
    <row r="24">
      <c r="A24" t="inlineStr">
        <is>
          <t>Accrued revenue share</t>
        </is>
      </c>
      <c r="B24" s="4" t="n">
        <v>593</v>
      </c>
      <c r="C24" s="4" t="n">
        <v>955</v>
      </c>
      <c r="D24" s="4" t="n">
        <v>483</v>
      </c>
      <c r="E24" s="4" t="n">
        <v>1273</v>
      </c>
      <c r="F24" s="4" t="n">
        <v>1639</v>
      </c>
      <c r="G24" s="4" t="n">
        <v>1682</v>
      </c>
      <c r="H24" s="4" t="n">
        <v>-445</v>
      </c>
      <c r="I24" s="4" t="n">
        <v>482</v>
      </c>
      <c r="J24" s="4" t="n">
        <v>1059</v>
      </c>
      <c r="K24" s="4" t="n">
        <v>899</v>
      </c>
    </row>
    <row r="25">
      <c r="A25" t="inlineStr">
        <is>
          <t>Deferred revenue</t>
        </is>
      </c>
      <c r="B25" s="4" t="n">
        <v>223</v>
      </c>
      <c r="C25" s="4" t="n">
        <v>390</v>
      </c>
      <c r="D25" s="4" t="n">
        <v>371</v>
      </c>
      <c r="E25" s="4" t="n">
        <v>37</v>
      </c>
      <c r="F25" s="4" t="n">
        <v>635</v>
      </c>
      <c r="G25" s="4" t="n">
        <v>774</v>
      </c>
      <c r="H25" s="4" t="n">
        <v>367</v>
      </c>
      <c r="I25" s="4" t="n">
        <v>525</v>
      </c>
      <c r="J25" s="4" t="n">
        <v>1043</v>
      </c>
      <c r="K25" s="4" t="n">
        <v>2420</v>
      </c>
    </row>
    <row r="26">
      <c r="A26" s="8" t="inlineStr">
        <is>
          <t>Net cash provided by operating activities</t>
        </is>
      </c>
      <c r="B26" s="10" t="n">
        <v>36036</v>
      </c>
      <c r="C26" s="10" t="n">
        <v>37091</v>
      </c>
      <c r="D26" s="10" t="n">
        <v>47971</v>
      </c>
      <c r="E26" s="10" t="n">
        <v>54520</v>
      </c>
      <c r="F26" s="10" t="n">
        <v>65124</v>
      </c>
      <c r="G26" s="10" t="n">
        <v>91652</v>
      </c>
      <c r="H26" s="10" t="n">
        <v>91495</v>
      </c>
      <c r="I26" s="10" t="n">
        <v>101746</v>
      </c>
      <c r="J26" s="10" t="n">
        <v>125299</v>
      </c>
      <c r="K26" s="10" t="n">
        <v>164713</v>
      </c>
    </row>
    <row r="27"/>
    <row r="28">
      <c r="A28" s="8" t="inlineStr">
        <is>
          <t>INVESTING ACTIVITIES</t>
        </is>
      </c>
    </row>
    <row r="29">
      <c r="A29" t="inlineStr">
        <is>
          <t>Purchases of property and equipment</t>
        </is>
      </c>
      <c r="B29" s="4" t="n">
        <v>-10212</v>
      </c>
      <c r="C29" s="4" t="n">
        <v>-13184</v>
      </c>
      <c r="D29" s="4" t="n">
        <v>-25139</v>
      </c>
      <c r="E29" s="4" t="n">
        <v>-23548</v>
      </c>
      <c r="F29" s="4" t="n">
        <v>-22281</v>
      </c>
      <c r="G29" s="4" t="n">
        <v>-24640</v>
      </c>
      <c r="H29" s="4" t="n">
        <v>-31485</v>
      </c>
      <c r="I29" s="4" t="n">
        <v>-32251</v>
      </c>
      <c r="J29" s="4" t="n">
        <v>-52535</v>
      </c>
      <c r="K29" s="4" t="n">
        <v>-91447</v>
      </c>
    </row>
    <row r="30">
      <c r="A30" t="inlineStr">
        <is>
          <t>Proceeds from disposals of property and equipment</t>
        </is>
      </c>
      <c r="B30" s="4" t="n">
        <v>240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t="inlineStr">
        <is>
          <t>Purchases of marketable securities</t>
        </is>
      </c>
      <c r="B31" s="4" t="n">
        <v>-84509</v>
      </c>
      <c r="C31" s="4" t="n">
        <v>-92195</v>
      </c>
      <c r="D31" s="4" t="n">
        <v>-50158</v>
      </c>
      <c r="E31" s="4" t="n">
        <v>-100315</v>
      </c>
      <c r="F31" s="4" t="n">
        <v>-136576</v>
      </c>
      <c r="G31" s="4" t="n">
        <v>-135196</v>
      </c>
      <c r="H31" s="4" t="n">
        <v>-78874</v>
      </c>
      <c r="I31" s="4" t="n">
        <v>-77858</v>
      </c>
      <c r="J31" s="4" t="n">
        <v>-86679</v>
      </c>
      <c r="K31" s="4" t="n">
        <v>-103773</v>
      </c>
    </row>
    <row r="32">
      <c r="A32" t="inlineStr">
        <is>
          <t>Maturities and sales of marketable securities</t>
        </is>
      </c>
      <c r="B32" s="4" t="n">
        <v>66895</v>
      </c>
      <c r="C32" s="4" t="n">
        <v>73959</v>
      </c>
      <c r="D32" s="4" t="n">
        <v>48507</v>
      </c>
      <c r="E32" s="4" t="n">
        <v>97825</v>
      </c>
      <c r="F32" s="4" t="n">
        <v>132906</v>
      </c>
      <c r="G32" s="4" t="n">
        <v>128294</v>
      </c>
      <c r="H32" s="4" t="n">
        <v>97822</v>
      </c>
      <c r="I32" s="4" t="n">
        <v>86672</v>
      </c>
      <c r="J32" s="4" t="n">
        <v>103428</v>
      </c>
      <c r="K32" s="4" t="n">
        <v>83240</v>
      </c>
    </row>
    <row r="33">
      <c r="A33" t="inlineStr">
        <is>
          <t>Purchases of non-marketable securities</t>
        </is>
      </c>
      <c r="B33" s="4" t="n">
        <v>-1109</v>
      </c>
      <c r="C33" s="4" t="n">
        <v>-1745</v>
      </c>
      <c r="D33" s="4" t="n">
        <v>-2073</v>
      </c>
      <c r="E33" s="4" t="n">
        <v>-1932</v>
      </c>
      <c r="F33" s="4" t="n">
        <v>-7175</v>
      </c>
      <c r="G33" s="4" t="n">
        <v>-2838</v>
      </c>
      <c r="H33" s="4" t="n">
        <v>-2531</v>
      </c>
      <c r="I33" s="4" t="n">
        <v>-3027</v>
      </c>
      <c r="J33" s="4" t="n">
        <v>-5034</v>
      </c>
      <c r="K33" s="4" t="n">
        <v>-5716</v>
      </c>
    </row>
    <row r="34">
      <c r="A34" t="inlineStr">
        <is>
          <t>Maturities and sales of non-marketable securities</t>
        </is>
      </c>
      <c r="B34" s="4" t="n">
        <v>494</v>
      </c>
      <c r="C34" s="4" t="n">
        <v>533</v>
      </c>
      <c r="D34" s="4" t="n">
        <v>1752</v>
      </c>
      <c r="E34" s="4" t="n">
        <v>405</v>
      </c>
      <c r="F34" s="4" t="n">
        <v>1023</v>
      </c>
      <c r="G34" s="4" t="n">
        <v>934</v>
      </c>
      <c r="H34" s="4" t="n">
        <v>150</v>
      </c>
      <c r="I34" s="4" t="n">
        <v>947</v>
      </c>
      <c r="J34" s="4" t="n">
        <v>882</v>
      </c>
      <c r="K34" s="4" t="n">
        <v>1367</v>
      </c>
    </row>
    <row r="35">
      <c r="A35" t="inlineStr">
        <is>
          <t>Cash collateral related to securities lending</t>
        </is>
      </c>
      <c r="B35" s="4" t="n">
        <v>-2428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t="inlineStr">
        <is>
          <t>Investments in reverse repurchase agreements</t>
        </is>
      </c>
      <c r="B36" s="4" t="n">
        <v>450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t="inlineStr">
        <is>
          <t>Acquisitions, net of cash acquired, and purchases of intangible and other assets</t>
        </is>
      </c>
      <c r="B37" s="4" t="n">
        <v>-986</v>
      </c>
      <c r="C37" s="4" t="n">
        <v>-287</v>
      </c>
      <c r="D37" s="4" t="n">
        <v>-1491</v>
      </c>
      <c r="E37" s="4" t="n">
        <v>-2515</v>
      </c>
      <c r="F37" s="4" t="n">
        <v>-738</v>
      </c>
      <c r="G37" s="4" t="n">
        <v>-2618</v>
      </c>
      <c r="H37" s="4" t="n">
        <v>-6969</v>
      </c>
      <c r="I37" s="4" t="n">
        <v>-495</v>
      </c>
      <c r="J37" s="4" t="n">
        <v>-2931</v>
      </c>
      <c r="K37" s="4" t="n">
        <v>-1592</v>
      </c>
    </row>
    <row r="38">
      <c r="A38" t="inlineStr">
        <is>
          <t>Proceeds from collection of notes receivable</t>
        </is>
      </c>
      <c r="B38" s="4" t="n">
        <v>0</v>
      </c>
      <c r="C38" s="4" t="n">
        <v>1419</v>
      </c>
      <c r="D38" s="4" t="n">
        <v>0</v>
      </c>
      <c r="E38" s="4" t="n"/>
      <c r="F38" s="4" t="n"/>
      <c r="G38" s="4" t="n"/>
      <c r="H38" s="4" t="n"/>
      <c r="I38" s="4" t="n"/>
      <c r="J38" s="4" t="n"/>
      <c r="K38" s="4" t="n"/>
    </row>
    <row r="39">
      <c r="A39" t="inlineStr">
        <is>
          <t>Other investing activities</t>
        </is>
      </c>
      <c r="B39" s="4" t="n"/>
      <c r="C39" s="4" t="n">
        <v>99</v>
      </c>
      <c r="D39" s="4" t="n">
        <v>98</v>
      </c>
      <c r="E39" s="4" t="n">
        <v>589</v>
      </c>
      <c r="F39" s="4" t="n">
        <v>68</v>
      </c>
      <c r="G39" s="4" t="n">
        <v>541</v>
      </c>
      <c r="H39" s="4" t="n">
        <v>1589</v>
      </c>
      <c r="I39" s="4" t="n">
        <v>-1051</v>
      </c>
      <c r="J39" s="4" t="n">
        <v>-2667</v>
      </c>
      <c r="K39" s="4" t="n">
        <v>-2370</v>
      </c>
    </row>
    <row r="40">
      <c r="A40" s="8" t="inlineStr">
        <is>
          <t>Net cash used in investing activities</t>
        </is>
      </c>
      <c r="B40" s="10" t="n">
        <v>-31165</v>
      </c>
      <c r="C40" s="10" t="n">
        <v>-31401</v>
      </c>
      <c r="D40" s="10" t="n">
        <v>-28504</v>
      </c>
      <c r="E40" s="10" t="n">
        <v>-29491</v>
      </c>
      <c r="F40" s="10" t="n">
        <v>-32773</v>
      </c>
      <c r="G40" s="10" t="n">
        <v>-35523</v>
      </c>
      <c r="H40" s="10" t="n">
        <v>-20298</v>
      </c>
      <c r="I40" s="10" t="n">
        <v>-27063</v>
      </c>
      <c r="J40" s="10" t="n">
        <v>-45536</v>
      </c>
      <c r="K40" s="10" t="n">
        <v>-120291</v>
      </c>
    </row>
    <row r="41"/>
    <row r="42">
      <c r="A42" s="8" t="inlineStr">
        <is>
          <t>FINANCING ACTIVITIES</t>
        </is>
      </c>
    </row>
    <row r="43">
      <c r="A43" t="inlineStr">
        <is>
          <t>Net payments related to stock-based award activities</t>
        </is>
      </c>
      <c r="B43" s="4" t="n">
        <v>-3304</v>
      </c>
      <c r="C43" s="4" t="n">
        <v>-4166</v>
      </c>
      <c r="D43" s="4" t="n">
        <v>-4993</v>
      </c>
      <c r="E43" s="4" t="n">
        <v>-4765</v>
      </c>
      <c r="F43" s="4" t="n">
        <v>-5720</v>
      </c>
      <c r="G43" s="4" t="n">
        <v>-10162</v>
      </c>
      <c r="H43" s="4" t="n">
        <v>-9300</v>
      </c>
      <c r="I43" s="4" t="n">
        <v>-9837</v>
      </c>
      <c r="J43" s="4" t="n">
        <v>-12190</v>
      </c>
      <c r="K43" s="4" t="n">
        <v>-14167</v>
      </c>
    </row>
    <row r="44">
      <c r="A44" t="inlineStr">
        <is>
          <t>Repurchases of stock</t>
        </is>
      </c>
      <c r="B44" s="4" t="n">
        <v>-3693</v>
      </c>
      <c r="C44" s="4" t="n">
        <v>-4846</v>
      </c>
      <c r="D44" s="4" t="n">
        <v>-9075</v>
      </c>
      <c r="E44" s="4" t="n">
        <v>-18396</v>
      </c>
      <c r="F44" s="4" t="n">
        <v>-31149</v>
      </c>
      <c r="G44" s="4" t="n">
        <v>-50274</v>
      </c>
      <c r="H44" s="4" t="n">
        <v>-59296</v>
      </c>
      <c r="I44" s="4" t="n">
        <v>-61504</v>
      </c>
      <c r="J44" s="4" t="n">
        <v>-62222</v>
      </c>
      <c r="K44" s="4" t="n">
        <v>-45709</v>
      </c>
    </row>
    <row r="45">
      <c r="A45" t="inlineStr">
        <is>
          <t>Dividend payments</t>
        </is>
      </c>
      <c r="B45" s="4" t="n">
        <v>0</v>
      </c>
      <c r="C45" s="4" t="n"/>
      <c r="D45" s="4" t="n"/>
      <c r="E45" s="4" t="n"/>
      <c r="F45" s="4" t="n"/>
      <c r="G45" s="4" t="n"/>
      <c r="H45" s="4" t="n"/>
      <c r="I45" s="4" t="n">
        <v>0</v>
      </c>
      <c r="J45" s="4" t="n">
        <v>-7363</v>
      </c>
      <c r="K45" s="4" t="n">
        <v>-10049</v>
      </c>
    </row>
    <row r="46">
      <c r="A46" t="inlineStr">
        <is>
          <t>Proceeds from issuance of debt, net of costs</t>
        </is>
      </c>
      <c r="B46" s="4" t="n">
        <v>8729</v>
      </c>
      <c r="C46" s="4" t="n">
        <v>4291</v>
      </c>
      <c r="D46" s="4" t="n">
        <v>6766</v>
      </c>
      <c r="E46" s="4" t="n">
        <v>317</v>
      </c>
      <c r="F46" s="4" t="n">
        <v>11761</v>
      </c>
      <c r="G46" s="4" t="n">
        <v>20199</v>
      </c>
      <c r="H46" s="4" t="n">
        <v>52872</v>
      </c>
      <c r="I46" s="4" t="n">
        <v>10790</v>
      </c>
      <c r="J46" s="4" t="n">
        <v>13589</v>
      </c>
      <c r="K46" s="4" t="n">
        <v>64564</v>
      </c>
    </row>
    <row r="47">
      <c r="A47" t="inlineStr">
        <is>
          <t>Repayments of debt</t>
        </is>
      </c>
      <c r="B47" s="4" t="n">
        <v>-10064</v>
      </c>
      <c r="C47" s="4" t="n">
        <v>-4377</v>
      </c>
      <c r="D47" s="4" t="n">
        <v>-6827</v>
      </c>
      <c r="E47" s="4" t="n">
        <v>-585</v>
      </c>
      <c r="F47" s="4" t="n">
        <v>-2100</v>
      </c>
      <c r="G47" s="4" t="n">
        <v>-21435</v>
      </c>
      <c r="H47" s="4" t="n">
        <v>-54068</v>
      </c>
      <c r="I47" s="4" t="n">
        <v>-11550</v>
      </c>
      <c r="J47" s="4" t="n">
        <v>-12701</v>
      </c>
      <c r="K47" s="4" t="n">
        <v>-32427</v>
      </c>
    </row>
    <row r="48">
      <c r="A48" t="inlineStr">
        <is>
          <t>Proceeds from sale of interest in consolidated entities, net</t>
        </is>
      </c>
      <c r="B48" s="4" t="n">
        <v>0</v>
      </c>
      <c r="C48" s="4" t="n">
        <v>800</v>
      </c>
      <c r="D48" s="4" t="n">
        <v>950</v>
      </c>
      <c r="E48" s="4" t="n">
        <v>220</v>
      </c>
      <c r="F48" s="4" t="n">
        <v>2800</v>
      </c>
      <c r="G48" s="4" t="n">
        <v>310</v>
      </c>
      <c r="H48" s="4" t="n">
        <v>35</v>
      </c>
      <c r="I48" s="4" t="n">
        <v>8</v>
      </c>
      <c r="J48" s="4" t="n">
        <v>1154</v>
      </c>
      <c r="K48" s="4" t="n">
        <v>400</v>
      </c>
    </row>
    <row r="49">
      <c r="A49" s="8" t="inlineStr">
        <is>
          <t>Net cash used in financing activities</t>
        </is>
      </c>
      <c r="B49" s="10" t="n">
        <v>-8332</v>
      </c>
      <c r="C49" s="10" t="n">
        <v>-8298</v>
      </c>
      <c r="D49" s="10" t="n">
        <v>-13179</v>
      </c>
      <c r="E49" s="10" t="n">
        <v>-23209</v>
      </c>
      <c r="F49" s="10" t="n">
        <v>-24408</v>
      </c>
      <c r="G49" s="10" t="n">
        <v>-61362</v>
      </c>
      <c r="H49" s="10" t="n">
        <v>-69757</v>
      </c>
      <c r="I49" s="10" t="n">
        <v>-72093</v>
      </c>
      <c r="J49" s="10" t="n">
        <v>-79733</v>
      </c>
      <c r="K49" s="10" t="n">
        <v>-37388</v>
      </c>
    </row>
    <row r="50"/>
    <row r="51">
      <c r="A51" t="inlineStr">
        <is>
          <t>Effect of exchange rate changes on cash and cash equivalents</t>
        </is>
      </c>
      <c r="B51" s="4" t="n">
        <v>-170</v>
      </c>
      <c r="C51" s="4" t="n">
        <v>405</v>
      </c>
      <c r="D51" s="4" t="n">
        <v>-302</v>
      </c>
      <c r="E51" s="4" t="n">
        <v>-23</v>
      </c>
      <c r="F51" s="4" t="n">
        <v>24</v>
      </c>
      <c r="G51" s="4" t="n">
        <v>-287</v>
      </c>
      <c r="H51" s="4" t="n">
        <v>-506</v>
      </c>
      <c r="I51" s="4" t="n">
        <v>-421</v>
      </c>
      <c r="J51" s="4" t="n">
        <v>-612</v>
      </c>
      <c r="K51" s="4" t="n">
        <v>208</v>
      </c>
    </row>
    <row r="52">
      <c r="A52" s="8" t="inlineStr">
        <is>
          <t>Net increase (decrease) in cash and cash equivalents</t>
        </is>
      </c>
      <c r="B52" s="10" t="n">
        <v>-3631</v>
      </c>
      <c r="C52" s="10" t="n">
        <v>-2203</v>
      </c>
      <c r="D52" s="10" t="n">
        <v>5986</v>
      </c>
      <c r="E52" s="10" t="n">
        <v>1797</v>
      </c>
      <c r="F52" s="10" t="n">
        <v>7967</v>
      </c>
      <c r="G52" s="10" t="n">
        <v>-5520</v>
      </c>
      <c r="H52" s="10" t="n">
        <v>934</v>
      </c>
      <c r="I52" s="10" t="n">
        <v>2169</v>
      </c>
      <c r="J52" s="10" t="n">
        <v>-582</v>
      </c>
      <c r="K52" s="10" t="n">
        <v>7242</v>
      </c>
    </row>
    <row r="53">
      <c r="A53" t="inlineStr">
        <is>
          <t>Cash and cash equivalents at beginning of period</t>
        </is>
      </c>
      <c r="B53" s="4" t="n">
        <v>16549</v>
      </c>
      <c r="C53" s="4" t="n">
        <v>12918</v>
      </c>
      <c r="D53" s="4" t="n">
        <v>10715</v>
      </c>
      <c r="E53" s="4" t="n">
        <v>16701</v>
      </c>
      <c r="F53" s="4" t="n">
        <v>18498</v>
      </c>
      <c r="G53" s="4" t="n">
        <v>26465</v>
      </c>
      <c r="H53" s="4" t="n">
        <v>20945</v>
      </c>
      <c r="I53" s="4" t="n">
        <v>21879</v>
      </c>
      <c r="J53" s="4" t="n">
        <v>24048</v>
      </c>
      <c r="K53" s="4" t="n">
        <v>23466</v>
      </c>
    </row>
    <row r="54">
      <c r="A54" t="inlineStr">
        <is>
          <t>Cash and cash equivalents at end of period</t>
        </is>
      </c>
      <c r="B54" s="4" t="n">
        <v>12918</v>
      </c>
      <c r="C54" s="4" t="n">
        <v>10715</v>
      </c>
      <c r="D54" s="4" t="n">
        <v>16701</v>
      </c>
      <c r="E54" s="4" t="n">
        <v>18498</v>
      </c>
      <c r="F54" s="4" t="n">
        <v>26465</v>
      </c>
      <c r="G54" s="4" t="n">
        <v>20945</v>
      </c>
      <c r="H54" s="4" t="n">
        <v>21879</v>
      </c>
      <c r="I54" s="4" t="n">
        <v>24048</v>
      </c>
      <c r="J54" s="4" t="n">
        <v>23466</v>
      </c>
      <c r="K54" s="4" t="n">
        <v>30708</v>
      </c>
    </row>
    <row r="55"/>
    <row r="56">
      <c r="A56" s="8" t="inlineStr">
        <is>
          <t>SUPPLEMENTAL DISCLOSURES</t>
        </is>
      </c>
    </row>
    <row r="57">
      <c r="A57" t="inlineStr">
        <is>
          <t>Cash paid for income taxes, net of refunds</t>
        </is>
      </c>
      <c r="B57" s="4" t="n">
        <v>1643</v>
      </c>
      <c r="C57" s="4" t="n">
        <v>6191</v>
      </c>
      <c r="D57" s="4" t="n">
        <v>5671</v>
      </c>
      <c r="E57" s="4" t="n">
        <v>8203</v>
      </c>
      <c r="F57" s="4" t="n">
        <v>4990</v>
      </c>
      <c r="G57" s="4" t="n">
        <v>13412</v>
      </c>
      <c r="H57" s="4" t="n">
        <v>18892</v>
      </c>
      <c r="I57" s="4" t="n"/>
      <c r="J57" s="4" t="n"/>
      <c r="K57" s="4" t="n"/>
    </row>
    <row r="58">
      <c r="A58" t="inlineStr">
        <is>
          <t>Cash paid for interest, net of amounts capitalized</t>
        </is>
      </c>
      <c r="B58" s="4" t="n">
        <v>84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t="inlineStr">
        <is>
          <t>Purchases of property and equipment included in accrued liabilities</t>
        </is>
      </c>
      <c r="B59" s="4" t="n"/>
      <c r="C59" s="4" t="n"/>
      <c r="D59" s="4" t="n"/>
      <c r="E59" s="4" t="n"/>
      <c r="F59" s="4" t="n"/>
      <c r="G59" s="4" t="n"/>
      <c r="H59" s="4" t="n"/>
      <c r="I59" s="4" t="n">
        <v>7435</v>
      </c>
      <c r="J59" s="4" t="n">
        <v>10326</v>
      </c>
      <c r="K59" s="4" t="n">
        <v>15090</v>
      </c>
    </row>
    <row r="60"/>
    <row r="61">
      <c r="A61" s="43" t="inlineStr">
        <is>
          <t>QUARTERLY (AS-FILED 10-Q; Q4 DERIVED)</t>
        </is>
      </c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</row>
    <row r="62">
      <c r="A62" s="11" t="inlineStr">
        <is>
          <t>10-Q cash flows are filed cumulative (YTD); de-cumulated here (Qn = YTDn − YTDn−1; begin cash of Qn = end cash of Qn−1). Q4 derived: IS/CF = annual FY column − Σ(Q1–Q3); BS = fiscal year-end (10-K). EPS/share rows non-additive (no Q4).</t>
        </is>
      </c>
    </row>
    <row r="63"/>
    <row r="64">
      <c r="B64" s="45" t="inlineStr">
        <is>
          <t>Q1 2024</t>
        </is>
      </c>
      <c r="C64" s="45" t="inlineStr">
        <is>
          <t>Q2 2024</t>
        </is>
      </c>
      <c r="D64" s="45" t="inlineStr">
        <is>
          <t>Q3 2024</t>
        </is>
      </c>
      <c r="E64" s="45" t="inlineStr">
        <is>
          <t>Q4 2024</t>
        </is>
      </c>
      <c r="F64" s="45" t="inlineStr">
        <is>
          <t>Q1 2025</t>
        </is>
      </c>
      <c r="G64" s="45" t="inlineStr">
        <is>
          <t>Q2 2025</t>
        </is>
      </c>
      <c r="H64" s="45" t="inlineStr">
        <is>
          <t>Q3 2025</t>
        </is>
      </c>
      <c r="I64" s="45" t="inlineStr">
        <is>
          <t>Q4 2025</t>
        </is>
      </c>
      <c r="J64" s="45" t="inlineStr">
        <is>
          <t>Q1 2026</t>
        </is>
      </c>
    </row>
    <row r="65">
      <c r="A65" s="8" t="inlineStr">
        <is>
          <t>Line Item</t>
        </is>
      </c>
      <c r="B65" s="13" t="n">
        <v>45382</v>
      </c>
      <c r="C65" s="13" t="n">
        <v>45473</v>
      </c>
      <c r="D65" s="13" t="n">
        <v>45565</v>
      </c>
      <c r="E65" s="13" t="n">
        <v>45657</v>
      </c>
      <c r="F65" s="13" t="n">
        <v>45747</v>
      </c>
      <c r="G65" s="13" t="n">
        <v>45838</v>
      </c>
      <c r="H65" s="13" t="n">
        <v>45930</v>
      </c>
      <c r="I65" s="13" t="n">
        <v>46022</v>
      </c>
      <c r="J65" s="13" t="n">
        <v>46112</v>
      </c>
    </row>
    <row r="66"/>
    <row r="67">
      <c r="A67" s="8" t="inlineStr">
        <is>
          <t>OPERATING ACTIVITIES</t>
        </is>
      </c>
    </row>
    <row r="68">
      <c r="A68" s="8" t="inlineStr">
        <is>
          <t>Net income</t>
        </is>
      </c>
      <c r="B68" s="10" t="n">
        <v>23662</v>
      </c>
      <c r="C68" s="10" t="n">
        <v>23619</v>
      </c>
      <c r="D68" s="10" t="n">
        <v>26301</v>
      </c>
      <c r="E68" s="10" t="n">
        <v>26536</v>
      </c>
      <c r="F68" s="10" t="n">
        <v>34540</v>
      </c>
      <c r="G68" s="10" t="n">
        <v>28196</v>
      </c>
      <c r="H68" s="10" t="n">
        <v>34979</v>
      </c>
      <c r="I68" s="10" t="n">
        <v>34455</v>
      </c>
      <c r="J68" s="10" t="n">
        <v>62578</v>
      </c>
    </row>
    <row r="69">
      <c r="A69" s="8" t="inlineStr">
        <is>
          <t>Adjustments:</t>
        </is>
      </c>
    </row>
    <row r="70">
      <c r="A70" t="inlineStr">
        <is>
          <t>Depreciation and impairment of property and equipment</t>
        </is>
      </c>
    </row>
    <row r="71">
      <c r="A71" t="inlineStr">
        <is>
          <t>Depreciation of property and equipment</t>
        </is>
      </c>
      <c r="B71" s="4" t="n">
        <v>3413</v>
      </c>
      <c r="C71" s="4" t="n">
        <v>3708</v>
      </c>
      <c r="D71" s="4" t="n">
        <v>3985</v>
      </c>
      <c r="E71" s="4" t="n">
        <v>4205</v>
      </c>
      <c r="F71" s="4" t="n">
        <v>4487</v>
      </c>
      <c r="G71" s="4" t="n">
        <v>4998</v>
      </c>
      <c r="H71" s="4" t="n">
        <v>5611</v>
      </c>
      <c r="I71" s="4" t="n">
        <v>6040</v>
      </c>
      <c r="J71" s="4" t="n">
        <v>6482</v>
      </c>
    </row>
    <row r="72">
      <c r="A72" t="inlineStr">
        <is>
          <t>Amortization and impairment of intangible assets</t>
        </is>
      </c>
    </row>
    <row r="73">
      <c r="A73" t="inlineStr">
        <is>
          <t>Stock-based compensation expense</t>
        </is>
      </c>
      <c r="B73" s="4" t="n">
        <v>5264</v>
      </c>
      <c r="C73" s="4" t="n">
        <v>5865</v>
      </c>
      <c r="D73" s="4" t="n">
        <v>5846</v>
      </c>
      <c r="E73" s="4" t="n">
        <v>5810</v>
      </c>
      <c r="F73" s="4" t="n">
        <v>5516</v>
      </c>
      <c r="G73" s="4" t="n">
        <v>5998</v>
      </c>
      <c r="H73" s="4" t="n">
        <v>6368</v>
      </c>
      <c r="I73" s="4" t="n">
        <v>7071</v>
      </c>
      <c r="J73" s="4" t="n">
        <v>6751</v>
      </c>
    </row>
    <row r="74">
      <c r="A74" t="inlineStr">
        <is>
          <t>Deferred income taxes</t>
        </is>
      </c>
      <c r="B74" s="4" t="n">
        <v>419</v>
      </c>
      <c r="C74" s="4" t="n">
        <v>-3157</v>
      </c>
      <c r="D74" s="4" t="n">
        <v>-1071</v>
      </c>
      <c r="E74" s="4" t="n">
        <v>-1448</v>
      </c>
      <c r="F74" s="4" t="n">
        <v>-1152</v>
      </c>
      <c r="G74" s="4" t="n">
        <v>-444</v>
      </c>
      <c r="H74" s="4" t="n">
        <v>8726</v>
      </c>
      <c r="I74" s="4" t="n">
        <v>1218</v>
      </c>
      <c r="J74" s="4" t="n">
        <v>6920</v>
      </c>
    </row>
    <row r="75">
      <c r="A75" t="inlineStr">
        <is>
          <t>Loss on marketable and non-marketable investments, net</t>
        </is>
      </c>
    </row>
    <row r="76">
      <c r="A76" t="inlineStr">
        <is>
          <t>(Gain) loss on debt and equity securities, net</t>
        </is>
      </c>
      <c r="B76" s="4" t="n">
        <v>-1781</v>
      </c>
      <c r="C76" s="4" t="n">
        <v>1024</v>
      </c>
      <c r="D76" s="4" t="n">
        <v>-1981</v>
      </c>
      <c r="E76" s="4" t="n">
        <v>67</v>
      </c>
      <c r="F76" s="4" t="n">
        <v>-9960</v>
      </c>
      <c r="G76" s="4" t="n">
        <v>-1451</v>
      </c>
      <c r="H76" s="4" t="n">
        <v>-10855</v>
      </c>
      <c r="I76" s="4" t="n">
        <v>-2354</v>
      </c>
      <c r="J76" s="4" t="n">
        <v>-36804</v>
      </c>
    </row>
    <row r="77">
      <c r="A77" t="inlineStr">
        <is>
          <t>Other</t>
        </is>
      </c>
      <c r="B77" s="4" t="n">
        <v>334</v>
      </c>
      <c r="C77" s="4" t="n">
        <v>851</v>
      </c>
      <c r="D77" s="4" t="n">
        <v>1407</v>
      </c>
      <c r="E77" s="4" t="n">
        <v>827</v>
      </c>
      <c r="F77" s="4" t="n">
        <v>481</v>
      </c>
      <c r="G77" s="4" t="n">
        <v>560</v>
      </c>
      <c r="H77" s="4" t="n">
        <v>-198</v>
      </c>
      <c r="I77" s="4" t="n">
        <v>1265</v>
      </c>
      <c r="J77" s="4" t="n">
        <v>1265</v>
      </c>
    </row>
    <row r="78">
      <c r="A78" s="8" t="inlineStr">
        <is>
          <t>Changes in assets and liabilities, net of effects of acquisitions:</t>
        </is>
      </c>
    </row>
    <row r="79">
      <c r="A79" t="inlineStr">
        <is>
          <t>Accounts receivable, net</t>
        </is>
      </c>
      <c r="B79" s="4" t="n">
        <v>3167</v>
      </c>
      <c r="C79" s="4" t="n">
        <v>-3057</v>
      </c>
      <c r="D79" s="4" t="n">
        <v>-1431</v>
      </c>
      <c r="E79" s="4" t="n">
        <v>-4570</v>
      </c>
      <c r="F79" s="4" t="n">
        <v>1638</v>
      </c>
      <c r="G79" s="4" t="n">
        <v>-2839</v>
      </c>
      <c r="H79" s="4" t="n">
        <v>-2381</v>
      </c>
      <c r="I79" s="4" t="n">
        <v>-5197</v>
      </c>
      <c r="J79" s="4" t="n">
        <v>-363</v>
      </c>
    </row>
    <row r="80">
      <c r="A80" t="inlineStr">
        <is>
          <t>Income taxes, net</t>
        </is>
      </c>
      <c r="B80" s="4" t="n">
        <v>3011</v>
      </c>
      <c r="C80" s="4" t="n">
        <v>-3900</v>
      </c>
      <c r="D80" s="4" t="n">
        <v>-1908</v>
      </c>
      <c r="E80" s="4" t="n">
        <v>379</v>
      </c>
      <c r="F80" s="4" t="n">
        <v>7197</v>
      </c>
      <c r="G80" s="4" t="n">
        <v>-9631</v>
      </c>
      <c r="H80" s="4" t="n">
        <v>-858</v>
      </c>
      <c r="I80" s="4" t="n">
        <v>66</v>
      </c>
      <c r="J80" s="4" t="n">
        <v>8101</v>
      </c>
    </row>
    <row r="81">
      <c r="A81" t="inlineStr">
        <is>
          <t>Other assets</t>
        </is>
      </c>
      <c r="B81" s="4" t="n">
        <v>-1000</v>
      </c>
      <c r="C81" s="4" t="n">
        <v>-532</v>
      </c>
      <c r="D81" s="4" t="n">
        <v>-802</v>
      </c>
      <c r="E81" s="4" t="n">
        <v>937</v>
      </c>
      <c r="F81" s="4" t="n">
        <v>-1288</v>
      </c>
      <c r="G81" s="4" t="n">
        <v>-1479</v>
      </c>
      <c r="H81" s="4" t="n">
        <v>-1293</v>
      </c>
      <c r="I81" s="4" t="n">
        <v>-482</v>
      </c>
      <c r="J81" s="4" t="n">
        <v>-3403</v>
      </c>
    </row>
    <row r="82">
      <c r="A82" t="inlineStr">
        <is>
          <t>Accounts payable</t>
        </is>
      </c>
      <c r="B82" s="4" t="n">
        <v>-2124</v>
      </c>
      <c r="C82" s="4" t="n">
        <v>1561</v>
      </c>
      <c r="D82" s="4" t="n">
        <v>521</v>
      </c>
      <c r="E82" s="4" t="n">
        <v>401</v>
      </c>
      <c r="F82" s="4" t="n">
        <v>-880</v>
      </c>
      <c r="G82" s="4" t="n">
        <v>553</v>
      </c>
      <c r="H82" s="4" t="n">
        <v>-444</v>
      </c>
      <c r="I82" s="4" t="n">
        <v>1678</v>
      </c>
      <c r="J82" s="4" t="n">
        <v>-240</v>
      </c>
    </row>
    <row r="83">
      <c r="A83" t="inlineStr">
        <is>
          <t>Accrued expenses and other liabilities</t>
        </is>
      </c>
      <c r="B83" s="4" t="n">
        <v>-5054</v>
      </c>
      <c r="C83" s="4" t="n">
        <v>-122</v>
      </c>
      <c r="D83" s="4" t="n">
        <v>-1190</v>
      </c>
      <c r="E83" s="4" t="n">
        <v>5205</v>
      </c>
      <c r="F83" s="4" t="n">
        <v>-5045</v>
      </c>
      <c r="G83" s="4" t="n">
        <v>3485</v>
      </c>
      <c r="H83" s="4" t="n">
        <v>7759</v>
      </c>
      <c r="I83" s="4" t="n">
        <v>6740</v>
      </c>
      <c r="J83" s="4" t="n">
        <v>-6002</v>
      </c>
    </row>
    <row r="84">
      <c r="A84" t="inlineStr">
        <is>
          <t>Accrued revenue share</t>
        </is>
      </c>
      <c r="B84" s="4" t="n">
        <v>-322</v>
      </c>
      <c r="C84" s="4" t="n">
        <v>419</v>
      </c>
      <c r="D84" s="4" t="n">
        <v>381</v>
      </c>
      <c r="E84" s="4" t="n">
        <v>581</v>
      </c>
      <c r="F84" s="4" t="n">
        <v>116</v>
      </c>
      <c r="G84" s="4" t="n">
        <v>-335</v>
      </c>
      <c r="H84" s="4" t="n">
        <v>319</v>
      </c>
      <c r="I84" s="4" t="n">
        <v>799</v>
      </c>
    </row>
    <row r="85">
      <c r="A85" t="inlineStr">
        <is>
          <t>Deferred revenue</t>
        </is>
      </c>
      <c r="B85" s="4" t="n">
        <v>-141</v>
      </c>
      <c r="C85" s="4" t="n">
        <v>361</v>
      </c>
      <c r="D85" s="4" t="n">
        <v>640</v>
      </c>
      <c r="E85" s="4" t="n">
        <v>183</v>
      </c>
      <c r="F85" s="4" t="n">
        <v>500</v>
      </c>
      <c r="G85" s="4" t="n">
        <v>136</v>
      </c>
      <c r="H85" s="4" t="n">
        <v>681</v>
      </c>
      <c r="I85" s="4" t="n">
        <v>1103</v>
      </c>
      <c r="J85" s="4" t="n">
        <v>505</v>
      </c>
    </row>
    <row r="86">
      <c r="A86" s="8" t="inlineStr">
        <is>
          <t>Net cash provided by operating activities</t>
        </is>
      </c>
      <c r="B86" s="10" t="n">
        <v>28848</v>
      </c>
      <c r="C86" s="10" t="n">
        <v>26640</v>
      </c>
      <c r="D86" s="10" t="n">
        <v>30698</v>
      </c>
      <c r="E86" s="10" t="n">
        <v>39113</v>
      </c>
      <c r="F86" s="10" t="n">
        <v>36150</v>
      </c>
      <c r="G86" s="10" t="n">
        <v>27747</v>
      </c>
      <c r="H86" s="10" t="n">
        <v>48414</v>
      </c>
      <c r="I86" s="10" t="n">
        <v>52402</v>
      </c>
      <c r="J86" s="10" t="n">
        <v>45790</v>
      </c>
    </row>
    <row r="87"/>
    <row r="88">
      <c r="A88" s="8" t="inlineStr">
        <is>
          <t>INVESTING ACTIVITIES</t>
        </is>
      </c>
    </row>
    <row r="89">
      <c r="A89" t="inlineStr">
        <is>
          <t>Purchases of property and equipment</t>
        </is>
      </c>
      <c r="B89" s="4" t="n">
        <v>-12012</v>
      </c>
      <c r="C89" s="4" t="n">
        <v>-13186</v>
      </c>
      <c r="D89" s="4" t="n">
        <v>-13061</v>
      </c>
      <c r="E89" s="4" t="n">
        <v>-14276</v>
      </c>
      <c r="F89" s="4" t="n">
        <v>-17197</v>
      </c>
      <c r="G89" s="4" t="n">
        <v>-22446</v>
      </c>
      <c r="H89" s="4" t="n">
        <v>-23953</v>
      </c>
      <c r="I89" s="4" t="n">
        <v>-27851</v>
      </c>
      <c r="J89" s="4" t="n">
        <v>-35674</v>
      </c>
    </row>
    <row r="90">
      <c r="A90" t="inlineStr">
        <is>
          <t>Proceeds from disposals of property and equipment</t>
        </is>
      </c>
    </row>
    <row r="91">
      <c r="A91" t="inlineStr">
        <is>
          <t>Purchases of marketable securities</t>
        </is>
      </c>
      <c r="B91" s="4" t="n">
        <v>-20684</v>
      </c>
      <c r="C91" s="4" t="n">
        <v>-22327</v>
      </c>
      <c r="D91" s="4" t="n">
        <v>-22023</v>
      </c>
      <c r="E91" s="4" t="n">
        <v>-21645</v>
      </c>
      <c r="F91" s="4" t="n">
        <v>-18453</v>
      </c>
      <c r="G91" s="4" t="n">
        <v>-21417</v>
      </c>
      <c r="H91" s="4" t="n">
        <v>-20964</v>
      </c>
      <c r="I91" s="4" t="n">
        <v>-42939</v>
      </c>
      <c r="J91" s="4" t="n">
        <v>-31041</v>
      </c>
    </row>
    <row r="92">
      <c r="A92" t="inlineStr">
        <is>
          <t>Maturities and sales of marketable securities</t>
        </is>
      </c>
      <c r="B92" s="4" t="n">
        <v>24985</v>
      </c>
      <c r="C92" s="4" t="n">
        <v>33592</v>
      </c>
      <c r="D92" s="4" t="n">
        <v>23202</v>
      </c>
      <c r="E92" s="4" t="n">
        <v>21649</v>
      </c>
      <c r="F92" s="4" t="n">
        <v>20345</v>
      </c>
      <c r="G92" s="4" t="n">
        <v>20585</v>
      </c>
      <c r="H92" s="4" t="n">
        <v>20371</v>
      </c>
      <c r="I92" s="4" t="n">
        <v>21939</v>
      </c>
      <c r="J92" s="4" t="n">
        <v>38001</v>
      </c>
    </row>
    <row r="93">
      <c r="A93" t="inlineStr">
        <is>
          <t>Purchases of non-marketable securities</t>
        </is>
      </c>
      <c r="B93" s="4" t="n">
        <v>-1206</v>
      </c>
      <c r="C93" s="4" t="n">
        <v>-993</v>
      </c>
      <c r="D93" s="4" t="n">
        <v>-1035</v>
      </c>
      <c r="E93" s="4" t="n">
        <v>-1800</v>
      </c>
      <c r="F93" s="4" t="n">
        <v>-958</v>
      </c>
      <c r="G93" s="4" t="n">
        <v>-1354</v>
      </c>
      <c r="H93" s="4" t="n">
        <v>-1000</v>
      </c>
      <c r="I93" s="4" t="n">
        <v>-2404</v>
      </c>
      <c r="J93" s="4" t="n">
        <v>-906</v>
      </c>
    </row>
    <row r="94">
      <c r="A94" t="inlineStr">
        <is>
          <t>Maturities and sales of non-marketable securities</t>
        </is>
      </c>
      <c r="B94" s="4" t="n">
        <v>313</v>
      </c>
      <c r="C94" s="4" t="n">
        <v>292</v>
      </c>
      <c r="D94" s="4" t="n">
        <v>127</v>
      </c>
      <c r="E94" s="4" t="n">
        <v>150</v>
      </c>
      <c r="F94" s="4" t="n">
        <v>259</v>
      </c>
      <c r="G94" s="4" t="n">
        <v>614</v>
      </c>
      <c r="H94" s="4" t="n">
        <v>323</v>
      </c>
      <c r="I94" s="4" t="n">
        <v>171</v>
      </c>
      <c r="J94" s="4" t="n">
        <v>848</v>
      </c>
    </row>
    <row r="95">
      <c r="A95" t="inlineStr">
        <is>
          <t>Cash collateral related to securities lending</t>
        </is>
      </c>
    </row>
    <row r="96">
      <c r="A96" t="inlineStr">
        <is>
          <t>Investments in reverse repurchase agreements</t>
        </is>
      </c>
    </row>
    <row r="97">
      <c r="A97" t="inlineStr">
        <is>
          <t>Acquisitions, net of cash acquired, and purchases of intangible and other assets</t>
        </is>
      </c>
      <c r="B97" s="4" t="n">
        <v>-61</v>
      </c>
      <c r="C97" s="4" t="n">
        <v>-26</v>
      </c>
      <c r="D97" s="4" t="n">
        <v>-2753</v>
      </c>
      <c r="E97" s="4" t="n">
        <v>-91</v>
      </c>
      <c r="F97" s="4" t="n">
        <v>-340</v>
      </c>
      <c r="G97" s="4" t="n">
        <v>-13</v>
      </c>
      <c r="H97" s="4" t="n">
        <v>-1072</v>
      </c>
      <c r="I97" s="4" t="n">
        <v>-167</v>
      </c>
      <c r="J97" s="4" t="n">
        <v>-33621</v>
      </c>
    </row>
    <row r="98">
      <c r="A98" t="inlineStr">
        <is>
          <t>Proceeds from collection of notes receivable</t>
        </is>
      </c>
    </row>
    <row r="99">
      <c r="A99" t="inlineStr">
        <is>
          <t>Other investing activities</t>
        </is>
      </c>
      <c r="B99" s="4" t="n">
        <v>101</v>
      </c>
      <c r="C99" s="4" t="n">
        <v>-133</v>
      </c>
      <c r="D99" s="4" t="n">
        <v>-2468</v>
      </c>
      <c r="E99" s="4" t="n">
        <v>-167</v>
      </c>
      <c r="F99" s="4" t="n">
        <v>150</v>
      </c>
      <c r="G99" s="4" t="n">
        <v>-513</v>
      </c>
      <c r="H99" s="4" t="n">
        <v>-1482</v>
      </c>
      <c r="I99" s="4" t="n">
        <v>-525</v>
      </c>
      <c r="J99" s="4" t="n">
        <v>-996</v>
      </c>
    </row>
    <row r="100">
      <c r="A100" s="8" t="inlineStr">
        <is>
          <t>Net cash used in investing activities</t>
        </is>
      </c>
      <c r="B100" s="10" t="n">
        <v>-8564</v>
      </c>
      <c r="C100" s="10" t="n">
        <v>-2781</v>
      </c>
      <c r="D100" s="10" t="n">
        <v>-18011</v>
      </c>
      <c r="E100" s="10" t="n">
        <v>-16180</v>
      </c>
      <c r="F100" s="10" t="n">
        <v>-16194</v>
      </c>
      <c r="G100" s="10" t="n">
        <v>-24544</v>
      </c>
      <c r="H100" s="10" t="n">
        <v>-27777</v>
      </c>
      <c r="I100" s="10" t="n">
        <v>-51776</v>
      </c>
      <c r="J100" s="10" t="n">
        <v>-63389</v>
      </c>
    </row>
    <row r="101"/>
    <row r="102">
      <c r="A102" s="8" t="inlineStr">
        <is>
          <t>FINANCING ACTIVITIES</t>
        </is>
      </c>
    </row>
    <row r="103">
      <c r="A103" t="inlineStr">
        <is>
          <t>Net payments related to stock-based award activities</t>
        </is>
      </c>
      <c r="B103" s="4" t="n">
        <v>-2929</v>
      </c>
      <c r="C103" s="4" t="n">
        <v>-3209</v>
      </c>
      <c r="D103" s="4" t="n">
        <v>-3003</v>
      </c>
      <c r="E103" s="4" t="n">
        <v>-3049</v>
      </c>
      <c r="F103" s="4" t="n">
        <v>-3110</v>
      </c>
      <c r="G103" s="4" t="n">
        <v>-2621</v>
      </c>
      <c r="H103" s="4" t="n">
        <v>-3270</v>
      </c>
      <c r="I103" s="4" t="n">
        <v>-5166</v>
      </c>
      <c r="J103" s="4" t="n">
        <v>-5483</v>
      </c>
    </row>
    <row r="104">
      <c r="A104" t="inlineStr">
        <is>
          <t>Repurchases of stock</t>
        </is>
      </c>
      <c r="B104" s="4" t="n">
        <v>-15696</v>
      </c>
      <c r="C104" s="4" t="n">
        <v>-15684</v>
      </c>
      <c r="D104" s="4" t="n">
        <v>-15291</v>
      </c>
      <c r="E104" s="4" t="n">
        <v>-15551</v>
      </c>
      <c r="F104" s="4" t="n">
        <v>-15068</v>
      </c>
      <c r="G104" s="4" t="n">
        <v>-13638</v>
      </c>
      <c r="H104" s="4" t="n">
        <v>-11504</v>
      </c>
      <c r="I104" s="4" t="n">
        <v>-5499</v>
      </c>
      <c r="J104" s="4" t="n">
        <v>0</v>
      </c>
    </row>
    <row r="105">
      <c r="A105" t="inlineStr">
        <is>
          <t>Dividend payments</t>
        </is>
      </c>
      <c r="C105" s="4" t="n">
        <v>-2466</v>
      </c>
      <c r="D105" s="4" t="n">
        <v>-2455</v>
      </c>
      <c r="E105" s="4" t="n">
        <v>-2442</v>
      </c>
      <c r="F105" s="4" t="n">
        <v>-2434</v>
      </c>
      <c r="G105" s="4" t="n">
        <v>-2543</v>
      </c>
      <c r="H105" s="4" t="n">
        <v>-2536</v>
      </c>
      <c r="I105" s="4" t="n">
        <v>-2536</v>
      </c>
      <c r="J105" s="4" t="n">
        <v>-2542</v>
      </c>
    </row>
    <row r="106">
      <c r="A106" t="inlineStr">
        <is>
          <t>Proceeds from issuance of debt, net of costs</t>
        </is>
      </c>
      <c r="B106" s="4" t="n">
        <v>1982</v>
      </c>
      <c r="C106" s="4" t="n">
        <v>2893</v>
      </c>
      <c r="D106" s="4" t="n">
        <v>3819</v>
      </c>
      <c r="E106" s="4" t="n">
        <v>4895</v>
      </c>
      <c r="F106" s="4" t="n">
        <v>4532</v>
      </c>
      <c r="G106" s="4" t="n">
        <v>26846</v>
      </c>
      <c r="H106" s="4" t="n">
        <v>6624</v>
      </c>
      <c r="I106" s="4" t="n">
        <v>26562</v>
      </c>
      <c r="J106" s="4" t="n">
        <v>31379</v>
      </c>
    </row>
    <row r="107">
      <c r="A107" t="inlineStr">
        <is>
          <t>Repayments of debt</t>
        </is>
      </c>
      <c r="B107" s="4" t="n">
        <v>-3079</v>
      </c>
      <c r="C107" s="4" t="n">
        <v>-2423</v>
      </c>
      <c r="D107" s="4" t="n">
        <v>-3449</v>
      </c>
      <c r="E107" s="4" t="n">
        <v>-3750</v>
      </c>
      <c r="F107" s="4" t="n">
        <v>-4521</v>
      </c>
      <c r="G107" s="4" t="n">
        <v>-13876</v>
      </c>
      <c r="H107" s="4" t="n">
        <v>-7697</v>
      </c>
      <c r="I107" s="4" t="n">
        <v>-6333</v>
      </c>
      <c r="J107" s="4" t="n">
        <v>-1477</v>
      </c>
    </row>
    <row r="108">
      <c r="A108" t="inlineStr">
        <is>
          <t>Proceeds from sale of interest in consolidated entities, net</t>
        </is>
      </c>
      <c r="B108" s="4" t="n">
        <v>8</v>
      </c>
      <c r="C108" s="4" t="n">
        <v>0</v>
      </c>
      <c r="D108" s="4" t="n">
        <v>285</v>
      </c>
      <c r="E108" s="4" t="n">
        <v>861</v>
      </c>
      <c r="F108" s="4" t="n">
        <v>400</v>
      </c>
      <c r="G108" s="4" t="n">
        <v>0</v>
      </c>
      <c r="H108" s="4" t="n">
        <v>0</v>
      </c>
      <c r="I108" s="4" t="n">
        <v>0</v>
      </c>
      <c r="J108" s="4" t="n">
        <v>3200</v>
      </c>
    </row>
    <row r="109">
      <c r="A109" s="8" t="inlineStr">
        <is>
          <t>Net cash used in financing activities</t>
        </is>
      </c>
      <c r="B109" s="10" t="n">
        <v>-19714</v>
      </c>
      <c r="C109" s="10" t="n">
        <v>-20889</v>
      </c>
      <c r="D109" s="10" t="n">
        <v>-20094</v>
      </c>
      <c r="E109" s="10" t="n">
        <v>-19036</v>
      </c>
      <c r="F109" s="10" t="n">
        <v>-20201</v>
      </c>
      <c r="G109" s="10" t="n">
        <v>-5832</v>
      </c>
      <c r="H109" s="10" t="n">
        <v>-18383</v>
      </c>
      <c r="I109" s="10" t="n">
        <v>7028</v>
      </c>
      <c r="J109" s="10" t="n">
        <v>25077</v>
      </c>
    </row>
    <row r="110"/>
    <row r="111">
      <c r="A111" t="inlineStr">
        <is>
          <t>Effect of exchange rate changes on cash and cash equivalents</t>
        </is>
      </c>
      <c r="B111" s="4" t="n">
        <v>-125</v>
      </c>
      <c r="C111" s="4" t="n">
        <v>-238</v>
      </c>
      <c r="D111" s="4" t="n">
        <v>141</v>
      </c>
      <c r="E111" s="4" t="n">
        <v>-390</v>
      </c>
      <c r="F111" s="4" t="n">
        <v>43</v>
      </c>
      <c r="G111" s="4" t="n">
        <v>401</v>
      </c>
      <c r="H111" s="4" t="n">
        <v>-200</v>
      </c>
      <c r="I111" s="4" t="n">
        <v>-36</v>
      </c>
      <c r="J111" s="4" t="n">
        <v>-123</v>
      </c>
    </row>
    <row r="112">
      <c r="A112" s="8" t="inlineStr">
        <is>
          <t>Net increase (decrease) in cash and cash equivalents</t>
        </is>
      </c>
      <c r="B112" s="10" t="n">
        <v>445</v>
      </c>
      <c r="C112" s="10" t="n">
        <v>2732</v>
      </c>
      <c r="D112" s="10" t="n">
        <v>-7266</v>
      </c>
      <c r="E112" s="10" t="n">
        <v>3507</v>
      </c>
      <c r="F112" s="10" t="n">
        <v>-202</v>
      </c>
      <c r="G112" s="10" t="n">
        <v>-2228</v>
      </c>
      <c r="H112" s="10" t="n">
        <v>2054</v>
      </c>
      <c r="I112" s="10" t="n">
        <v>7618</v>
      </c>
      <c r="J112" s="10" t="n">
        <v>7355</v>
      </c>
    </row>
    <row r="113">
      <c r="A113" t="inlineStr">
        <is>
          <t>Cash and cash equivalents at beginning of period</t>
        </is>
      </c>
      <c r="B113" s="4" t="n">
        <v>24048</v>
      </c>
      <c r="C113" s="4" t="n">
        <v>24493</v>
      </c>
      <c r="D113" s="4" t="n">
        <v>27225</v>
      </c>
      <c r="E113" s="4" t="n">
        <v>19959</v>
      </c>
      <c r="F113" s="4" t="n">
        <v>23466</v>
      </c>
      <c r="G113" s="4" t="n">
        <v>23264</v>
      </c>
      <c r="H113" s="4" t="n">
        <v>21036</v>
      </c>
      <c r="I113" s="4" t="n">
        <v>23090</v>
      </c>
      <c r="J113" s="4" t="n">
        <v>30708</v>
      </c>
    </row>
    <row r="114">
      <c r="A114" t="inlineStr">
        <is>
          <t>Cash and cash equivalents at end of period</t>
        </is>
      </c>
      <c r="B114" s="4" t="n">
        <v>24493</v>
      </c>
      <c r="C114" s="4" t="n">
        <v>27225</v>
      </c>
      <c r="D114" s="4" t="n">
        <v>19959</v>
      </c>
      <c r="E114" s="4" t="n">
        <v>23466</v>
      </c>
      <c r="F114" s="4" t="n">
        <v>23264</v>
      </c>
      <c r="G114" s="4" t="n">
        <v>21036</v>
      </c>
      <c r="H114" s="4" t="n">
        <v>23090</v>
      </c>
      <c r="I114" s="4" t="n">
        <v>30708</v>
      </c>
      <c r="J114" s="4" t="n">
        <v>38063</v>
      </c>
    </row>
    <row r="115"/>
    <row r="116">
      <c r="A116" s="8" t="inlineStr">
        <is>
          <t>SUPPLEMENTAL DISCLOSURES</t>
        </is>
      </c>
    </row>
    <row r="117">
      <c r="A117" t="inlineStr">
        <is>
          <t>Cash paid for income taxes, net of refunds</t>
        </is>
      </c>
    </row>
    <row r="118">
      <c r="A118" t="inlineStr">
        <is>
          <t>Cash paid for interest, net of amounts capitalized</t>
        </is>
      </c>
    </row>
    <row r="119">
      <c r="A119" t="inlineStr">
        <is>
          <t>Purchases of property and equipment included in accrued liabilities</t>
        </is>
      </c>
      <c r="E119" s="4" t="n">
        <v>10326</v>
      </c>
      <c r="I119" s="4" t="n">
        <v>15090</v>
      </c>
      <c r="J119" s="4" t="n">
        <v>24131</v>
      </c>
    </row>
    <row r="120"/>
    <row r="121">
      <c r="A121" s="11" t="inlineStr">
        <is>
          <t>Source 10-Qs: Q1 2024 0001652044-24-000053; Q2 2024 0001652044-24-000079; Q3 2024 0001652044-24-000118; Q1 2025 0001652044-25-000043; Q2 2025 0001652044-25-000062; Q3 2025 0001652044-25-000091; Q1 2026 0001652044-26-000048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2"/>
  <sheetViews>
    <sheetView zoomScale="160" zoomScaleNormal="16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Z51" sqref="Z51"/>
    </sheetView>
  </sheetViews>
  <sheetFormatPr baseColWidth="10" defaultColWidth="8.83203125" defaultRowHeight="15"/>
  <cols>
    <col width="46" customWidth="1" style="92" min="1" max="1"/>
    <col width="16" customWidth="1" style="92" min="2" max="11"/>
    <col width="34" customWidth="1" style="92" min="12" max="12"/>
    <col width="52" customWidth="1" style="92" min="13" max="13"/>
  </cols>
  <sheetData>
    <row r="1">
      <c r="A1" s="8" t="inlineStr">
        <is>
          <t>Alphabet Inc. (GOOGL) — Condensed Financials</t>
        </is>
      </c>
    </row>
    <row r="2">
      <c r="A2" t="inlineStr">
        <is>
          <t>NOPAT, Operating/Financial Classification, NOA/Net Debt/Equity</t>
        </is>
      </c>
    </row>
    <row r="3">
      <c r="A3" t="inlineStr">
        <is>
          <t>Aggregates driven by the interactive classification table (rows 49+); values linked to source tabs</t>
        </is>
      </c>
    </row>
    <row r="4"/>
    <row r="5">
      <c r="A5" s="12" t="inlineStr">
        <is>
          <t>Line Item</t>
        </is>
      </c>
      <c r="B5" s="13">
        <f>'Income Statement'!B6</f>
        <v/>
      </c>
      <c r="C5" s="13">
        <f>'Income Statement'!C6</f>
        <v/>
      </c>
      <c r="D5" s="13">
        <f>'Income Statement'!D6</f>
        <v/>
      </c>
      <c r="E5" s="13">
        <f>'Income Statement'!E6</f>
        <v/>
      </c>
      <c r="F5" s="13">
        <f>'Income Statement'!F6</f>
        <v/>
      </c>
      <c r="G5" s="13">
        <f>'Income Statement'!G6</f>
        <v/>
      </c>
      <c r="H5" s="13">
        <f>'Income Statement'!H6</f>
        <v/>
      </c>
      <c r="I5" s="13">
        <f>'Income Statement'!I6</f>
        <v/>
      </c>
      <c r="J5" s="13">
        <f>'Income Statement'!J6</f>
        <v/>
      </c>
      <c r="K5" s="13">
        <f>'Income Statement'!K6</f>
        <v/>
      </c>
    </row>
    <row r="6"/>
    <row r="7">
      <c r="A7" s="14" t="inlineStr">
        <is>
          <t>A. CONDENSED INCOME STATEMENT</t>
        </is>
      </c>
    </row>
    <row r="8">
      <c r="A8" t="inlineStr">
        <is>
          <t>Net Income</t>
        </is>
      </c>
      <c r="B8" s="15">
        <f>'Income Statement'!B19</f>
        <v/>
      </c>
      <c r="C8" s="15">
        <f>'Income Statement'!C19</f>
        <v/>
      </c>
      <c r="D8" s="15">
        <f>'Income Statement'!D19</f>
        <v/>
      </c>
      <c r="E8" s="15">
        <f>'Income Statement'!E19</f>
        <v/>
      </c>
      <c r="F8" s="15">
        <f>'Income Statement'!F19</f>
        <v/>
      </c>
      <c r="G8" s="15">
        <f>'Income Statement'!G19</f>
        <v/>
      </c>
      <c r="H8" s="15">
        <f>'Income Statement'!H19</f>
        <v/>
      </c>
      <c r="I8" s="15">
        <f>'Income Statement'!I19</f>
        <v/>
      </c>
      <c r="J8" s="15">
        <f>'Income Statement'!J19</f>
        <v/>
      </c>
      <c r="K8" s="15">
        <f>'Income Statement'!K19</f>
        <v/>
      </c>
    </row>
    <row r="9">
      <c r="A9" t="inlineStr">
        <is>
          <t>Other Income (Expense), Net</t>
        </is>
      </c>
      <c r="B9" s="15">
        <f>'Income Statement'!B16</f>
        <v/>
      </c>
      <c r="C9" s="15">
        <f>'Income Statement'!C16</f>
        <v/>
      </c>
      <c r="D9" s="15">
        <f>'Income Statement'!D16</f>
        <v/>
      </c>
      <c r="E9" s="15">
        <f>'Income Statement'!E16</f>
        <v/>
      </c>
      <c r="F9" s="15">
        <f>'Income Statement'!F16</f>
        <v/>
      </c>
      <c r="G9" s="15">
        <f>'Income Statement'!G16</f>
        <v/>
      </c>
      <c r="H9" s="15">
        <f>'Income Statement'!H16</f>
        <v/>
      </c>
      <c r="I9" s="15">
        <f>'Income Statement'!I16</f>
        <v/>
      </c>
      <c r="J9" s="15">
        <f>'Income Statement'!J16</f>
        <v/>
      </c>
      <c r="K9" s="15">
        <f>'Income Statement'!K16</f>
        <v/>
      </c>
    </row>
    <row r="10">
      <c r="A10" t="inlineStr">
        <is>
          <t>Interest Expense (estimated)</t>
        </is>
      </c>
      <c r="B10" s="16" t="n">
        <v>124</v>
      </c>
      <c r="C10" s="16" t="n">
        <v>109</v>
      </c>
      <c r="D10" s="16" t="n">
        <v>114</v>
      </c>
      <c r="E10" s="16" t="n">
        <v>100</v>
      </c>
      <c r="F10" s="16" t="n">
        <v>135</v>
      </c>
      <c r="G10" s="16" t="n">
        <v>346</v>
      </c>
      <c r="H10" s="16" t="n">
        <v>357</v>
      </c>
      <c r="I10" s="16" t="n">
        <v>308</v>
      </c>
      <c r="J10" s="16" t="n">
        <v>365</v>
      </c>
      <c r="K10" s="16" t="n">
        <v>1200</v>
      </c>
    </row>
    <row r="11">
      <c r="A11" t="inlineStr">
        <is>
          <t>Interest Income (estimated)</t>
        </is>
      </c>
      <c r="B11" s="16" t="n">
        <v>1220</v>
      </c>
      <c r="C11" s="16" t="n">
        <v>1312</v>
      </c>
      <c r="D11" s="16" t="n">
        <v>1878</v>
      </c>
      <c r="E11" s="16" t="n">
        <v>2427</v>
      </c>
      <c r="F11" s="16" t="n">
        <v>1865</v>
      </c>
      <c r="G11" s="16" t="n">
        <v>1499</v>
      </c>
      <c r="H11" s="16" t="n">
        <v>1268</v>
      </c>
      <c r="I11" s="16" t="n">
        <v>3865</v>
      </c>
      <c r="J11" s="16" t="n">
        <v>4963</v>
      </c>
      <c r="K11" s="16" t="n">
        <v>4801</v>
      </c>
    </row>
    <row r="12">
      <c r="A12" t="inlineStr">
        <is>
          <t>Net Interest Expense (Income)</t>
        </is>
      </c>
      <c r="B12" s="4">
        <f>B10-B11</f>
        <v/>
      </c>
      <c r="C12" s="4">
        <f>C10-C11</f>
        <v/>
      </c>
      <c r="D12" s="4">
        <f>D10-D11</f>
        <v/>
      </c>
      <c r="E12" s="4">
        <f>E10-E11</f>
        <v/>
      </c>
      <c r="F12" s="4">
        <f>F10-F11</f>
        <v/>
      </c>
      <c r="G12" s="4">
        <f>G10-G11</f>
        <v/>
      </c>
      <c r="H12" s="4">
        <f>H10-H11</f>
        <v/>
      </c>
      <c r="I12" s="4">
        <f>I10-I11</f>
        <v/>
      </c>
      <c r="J12" s="4">
        <f>J10-J11</f>
        <v/>
      </c>
      <c r="K12" s="4">
        <f>K10-K11</f>
        <v/>
      </c>
    </row>
    <row r="13">
      <c r="A13" t="inlineStr">
        <is>
          <t>Pretax Income</t>
        </is>
      </c>
      <c r="B13" s="15">
        <f>'Income Statement'!B17</f>
        <v/>
      </c>
      <c r="C13" s="15">
        <f>'Income Statement'!C17</f>
        <v/>
      </c>
      <c r="D13" s="15">
        <f>'Income Statement'!D17</f>
        <v/>
      </c>
      <c r="E13" s="15">
        <f>'Income Statement'!E17</f>
        <v/>
      </c>
      <c r="F13" s="15">
        <f>'Income Statement'!F17</f>
        <v/>
      </c>
      <c r="G13" s="15">
        <f>'Income Statement'!G17</f>
        <v/>
      </c>
      <c r="H13" s="15">
        <f>'Income Statement'!H17</f>
        <v/>
      </c>
      <c r="I13" s="15">
        <f>'Income Statement'!I17</f>
        <v/>
      </c>
      <c r="J13" s="15">
        <f>'Income Statement'!J17</f>
        <v/>
      </c>
      <c r="K13" s="15">
        <f>'Income Statement'!K17</f>
        <v/>
      </c>
    </row>
    <row r="14">
      <c r="A14" t="inlineStr">
        <is>
          <t>Tax Expense</t>
        </is>
      </c>
      <c r="B14" s="15">
        <f>ABS('Income Statement'!B18)</f>
        <v/>
      </c>
      <c r="C14" s="15">
        <f>ABS('Income Statement'!C18)</f>
        <v/>
      </c>
      <c r="D14" s="15">
        <f>ABS('Income Statement'!D18)</f>
        <v/>
      </c>
      <c r="E14" s="15">
        <f>ABS('Income Statement'!E18)</f>
        <v/>
      </c>
      <c r="F14" s="15">
        <f>ABS('Income Statement'!F18)</f>
        <v/>
      </c>
      <c r="G14" s="15">
        <f>ABS('Income Statement'!G18)</f>
        <v/>
      </c>
      <c r="H14" s="15">
        <f>ABS('Income Statement'!H18)</f>
        <v/>
      </c>
      <c r="I14" s="15">
        <f>ABS('Income Statement'!I18)</f>
        <v/>
      </c>
      <c r="J14" s="15">
        <f>ABS('Income Statement'!J18)</f>
        <v/>
      </c>
      <c r="K14" s="15">
        <f>ABS('Income Statement'!K18)</f>
        <v/>
      </c>
    </row>
    <row r="15">
      <c r="A15" t="inlineStr">
        <is>
          <t>Effective Tax Rate</t>
        </is>
      </c>
      <c r="B15" s="1">
        <f>IFERROR(B14/B13,0)</f>
        <v/>
      </c>
      <c r="C15" s="1">
        <f>IFERROR(C14/C13,0)</f>
        <v/>
      </c>
      <c r="D15" s="1">
        <f>IFERROR(D14/D13,0)</f>
        <v/>
      </c>
      <c r="E15" s="1">
        <f>IFERROR(E14/E13,0)</f>
        <v/>
      </c>
      <c r="F15" s="1">
        <f>IFERROR(F14/F13,0)</f>
        <v/>
      </c>
      <c r="G15" s="1">
        <f>IFERROR(G14/G13,0)</f>
        <v/>
      </c>
      <c r="H15" s="1">
        <f>IFERROR(H14/H13,0)</f>
        <v/>
      </c>
      <c r="I15" s="1">
        <f>IFERROR(I14/I13,0)</f>
        <v/>
      </c>
      <c r="J15" s="1">
        <f>IFERROR(J14/J13,0)</f>
        <v/>
      </c>
      <c r="K15" s="1">
        <f>IFERROR(K14/K13,0)</f>
        <v/>
      </c>
    </row>
    <row r="16">
      <c r="A16" t="inlineStr">
        <is>
          <t>Net Interest After Tax</t>
        </is>
      </c>
      <c r="B16" s="4">
        <f>B12*(1-B15)</f>
        <v/>
      </c>
      <c r="C16" s="4">
        <f>C12*(1-C15)</f>
        <v/>
      </c>
      <c r="D16" s="4">
        <f>D12*(1-D15)</f>
        <v/>
      </c>
      <c r="E16" s="4">
        <f>E12*(1-E15)</f>
        <v/>
      </c>
      <c r="F16" s="4">
        <f>F12*(1-F15)</f>
        <v/>
      </c>
      <c r="G16" s="4">
        <f>G12*(1-G15)</f>
        <v/>
      </c>
      <c r="H16" s="4">
        <f>H12*(1-H15)</f>
        <v/>
      </c>
      <c r="I16" s="4">
        <f>I12*(1-I15)</f>
        <v/>
      </c>
      <c r="J16" s="4">
        <f>J12*(1-J15)</f>
        <v/>
      </c>
      <c r="K16" s="4">
        <f>K12*(1-K15)</f>
        <v/>
      </c>
    </row>
    <row r="17">
      <c r="A17" s="17" t="inlineStr">
        <is>
          <t>NOPAT</t>
        </is>
      </c>
      <c r="B17" s="18">
        <f>B8+B16</f>
        <v/>
      </c>
      <c r="C17" s="18">
        <f>C8+C16</f>
        <v/>
      </c>
      <c r="D17" s="18">
        <f>D8+D16</f>
        <v/>
      </c>
      <c r="E17" s="18">
        <f>E8+E16</f>
        <v/>
      </c>
      <c r="F17" s="18">
        <f>F8+F16</f>
        <v/>
      </c>
      <c r="G17" s="18">
        <f>G8+G16</f>
        <v/>
      </c>
      <c r="H17" s="18">
        <f>H8+H16</f>
        <v/>
      </c>
      <c r="I17" s="18">
        <f>I8+I16</f>
        <v/>
      </c>
      <c r="J17" s="18">
        <f>J8+J16</f>
        <v/>
      </c>
      <c r="K17" s="18">
        <f>K8+K16</f>
        <v/>
      </c>
    </row>
    <row r="18">
      <c r="A18" s="11" t="inlineStr">
        <is>
          <t>Interest rows: FY2016-FY2020 as disclosed (XBRL InterestExpense / InterestIncomeOther); FY2021-FY2025 estimated from filing disclosures.</t>
        </is>
      </c>
    </row>
    <row r="19"/>
    <row r="20">
      <c r="A20" s="14" t="inlineStr">
        <is>
          <t>B. CONDENSED BALANCE SHEET</t>
        </is>
      </c>
    </row>
    <row r="21">
      <c r="A21" t="inlineStr">
        <is>
          <t>All aggregates below are SUMIFs over the CLASSIFICATION TABLE (rows 51-78). Toggle any item’s classification in column L of the table; NOWC, NOA, Net Debt, DuPont ratios and model anchors recompute.</t>
        </is>
      </c>
    </row>
    <row r="22"/>
    <row r="23"/>
    <row r="24"/>
    <row r="25">
      <c r="A25" s="8" t="inlineStr">
        <is>
          <t>Operating Working Capital Assets</t>
        </is>
      </c>
      <c r="B25" s="10">
        <f>SUMIF($L$51:$L$78,"Operating Working Capital Asset",B$51:B$78)</f>
        <v/>
      </c>
      <c r="C25" s="10">
        <f>SUMIF($L$51:$L$78,"Operating Working Capital Asset",C$51:C$78)</f>
        <v/>
      </c>
      <c r="D25" s="10">
        <f>SUMIF($L$51:$L$78,"Operating Working Capital Asset",D$51:D$78)</f>
        <v/>
      </c>
      <c r="E25" s="10">
        <f>SUMIF($L$51:$L$78,"Operating Working Capital Asset",E$51:E$78)</f>
        <v/>
      </c>
      <c r="F25" s="10">
        <f>SUMIF($L$51:$L$78,"Operating Working Capital Asset",F$51:F$78)</f>
        <v/>
      </c>
      <c r="G25" s="10">
        <f>SUMIF($L$51:$L$78,"Operating Working Capital Asset",G$51:G$78)</f>
        <v/>
      </c>
      <c r="H25" s="10">
        <f>SUMIF($L$51:$L$78,"Operating Working Capital Asset",H$51:H$78)</f>
        <v/>
      </c>
      <c r="I25" s="10">
        <f>SUMIF($L$51:$L$78,"Operating Working Capital Asset",I$51:I$78)</f>
        <v/>
      </c>
      <c r="J25" s="10">
        <f>SUMIF($L$51:$L$78,"Operating Working Capital Asset",J$51:J$78)</f>
        <v/>
      </c>
      <c r="K25" s="10">
        <f>SUMIF($L$51:$L$78,"Operating Working Capital Asset",K$51:K$78)</f>
        <v/>
      </c>
    </row>
    <row r="26">
      <c r="A26" s="8" t="inlineStr">
        <is>
          <t>Operating Working Capital Liabilities</t>
        </is>
      </c>
      <c r="B26" s="10">
        <f>SUMIF($L$51:$L$78,"Operating Working Capital Liability",B$51:B$78)</f>
        <v/>
      </c>
      <c r="C26" s="10">
        <f>SUMIF($L$51:$L$78,"Operating Working Capital Liability",C$51:C$78)</f>
        <v/>
      </c>
      <c r="D26" s="10">
        <f>SUMIF($L$51:$L$78,"Operating Working Capital Liability",D$51:D$78)</f>
        <v/>
      </c>
      <c r="E26" s="10">
        <f>SUMIF($L$51:$L$78,"Operating Working Capital Liability",E$51:E$78)</f>
        <v/>
      </c>
      <c r="F26" s="10">
        <f>SUMIF($L$51:$L$78,"Operating Working Capital Liability",F$51:F$78)</f>
        <v/>
      </c>
      <c r="G26" s="10">
        <f>SUMIF($L$51:$L$78,"Operating Working Capital Liability",G$51:G$78)</f>
        <v/>
      </c>
      <c r="H26" s="10">
        <f>SUMIF($L$51:$L$78,"Operating Working Capital Liability",H$51:H$78)</f>
        <v/>
      </c>
      <c r="I26" s="10">
        <f>SUMIF($L$51:$L$78,"Operating Working Capital Liability",I$51:I$78)</f>
        <v/>
      </c>
      <c r="J26" s="10">
        <f>SUMIF($L$51:$L$78,"Operating Working Capital Liability",J$51:J$78)</f>
        <v/>
      </c>
      <c r="K26" s="10">
        <f>SUMIF($L$51:$L$78,"Operating Working Capital Liability",K$51:K$78)</f>
        <v/>
      </c>
    </row>
    <row r="27">
      <c r="A27" s="17" t="inlineStr">
        <is>
          <t>NET OPERATING WORKING CAPITAL (NOWC)</t>
        </is>
      </c>
      <c r="B27" s="18">
        <f>B25-B26</f>
        <v/>
      </c>
      <c r="C27" s="18">
        <f>C25-C26</f>
        <v/>
      </c>
      <c r="D27" s="18">
        <f>D25-D26</f>
        <v/>
      </c>
      <c r="E27" s="18">
        <f>E25-E26</f>
        <v/>
      </c>
      <c r="F27" s="18">
        <f>F25-F26</f>
        <v/>
      </c>
      <c r="G27" s="18">
        <f>G25-G26</f>
        <v/>
      </c>
      <c r="H27" s="18">
        <f>H25-H26</f>
        <v/>
      </c>
      <c r="I27" s="18">
        <f>I25-I26</f>
        <v/>
      </c>
      <c r="J27" s="18">
        <f>J25-J26</f>
        <v/>
      </c>
      <c r="K27" s="18">
        <f>K25-K26</f>
        <v/>
      </c>
    </row>
    <row r="28"/>
    <row r="29">
      <c r="A29" s="8" t="inlineStr">
        <is>
          <t>Operating Long-Term Assets</t>
        </is>
      </c>
      <c r="B29" s="10">
        <f>SUMIF($L$51:$L$78,"Operating Long-Term Asset",B$51:B$78)</f>
        <v/>
      </c>
      <c r="C29" s="10">
        <f>SUMIF($L$51:$L$78,"Operating Long-Term Asset",C$51:C$78)</f>
        <v/>
      </c>
      <c r="D29" s="10">
        <f>SUMIF($L$51:$L$78,"Operating Long-Term Asset",D$51:D$78)</f>
        <v/>
      </c>
      <c r="E29" s="10">
        <f>SUMIF($L$51:$L$78,"Operating Long-Term Asset",E$51:E$78)</f>
        <v/>
      </c>
      <c r="F29" s="10">
        <f>SUMIF($L$51:$L$78,"Operating Long-Term Asset",F$51:F$78)</f>
        <v/>
      </c>
      <c r="G29" s="10">
        <f>SUMIF($L$51:$L$78,"Operating Long-Term Asset",G$51:G$78)</f>
        <v/>
      </c>
      <c r="H29" s="10">
        <f>SUMIF($L$51:$L$78,"Operating Long-Term Asset",H$51:H$78)</f>
        <v/>
      </c>
      <c r="I29" s="10">
        <f>SUMIF($L$51:$L$78,"Operating Long-Term Asset",I$51:I$78)</f>
        <v/>
      </c>
      <c r="J29" s="10">
        <f>SUMIF($L$51:$L$78,"Operating Long-Term Asset",J$51:J$78)</f>
        <v/>
      </c>
      <c r="K29" s="10">
        <f>SUMIF($L$51:$L$78,"Operating Long-Term Asset",K$51:K$78)</f>
        <v/>
      </c>
    </row>
    <row r="30">
      <c r="A30" s="8" t="inlineStr">
        <is>
          <t>Operating Long-Term Liabilities</t>
        </is>
      </c>
      <c r="B30" s="10">
        <f>SUMIF($L$51:$L$78,"Operating Long-Term Liability",B$51:B$78)</f>
        <v/>
      </c>
      <c r="C30" s="10">
        <f>SUMIF($L$51:$L$78,"Operating Long-Term Liability",C$51:C$78)</f>
        <v/>
      </c>
      <c r="D30" s="10">
        <f>SUMIF($L$51:$L$78,"Operating Long-Term Liability",D$51:D$78)</f>
        <v/>
      </c>
      <c r="E30" s="10">
        <f>SUMIF($L$51:$L$78,"Operating Long-Term Liability",E$51:E$78)</f>
        <v/>
      </c>
      <c r="F30" s="10">
        <f>SUMIF($L$51:$L$78,"Operating Long-Term Liability",F$51:F$78)</f>
        <v/>
      </c>
      <c r="G30" s="10">
        <f>SUMIF($L$51:$L$78,"Operating Long-Term Liability",G$51:G$78)</f>
        <v/>
      </c>
      <c r="H30" s="10">
        <f>SUMIF($L$51:$L$78,"Operating Long-Term Liability",H$51:H$78)</f>
        <v/>
      </c>
      <c r="I30" s="10">
        <f>SUMIF($L$51:$L$78,"Operating Long-Term Liability",I$51:I$78)</f>
        <v/>
      </c>
      <c r="J30" s="10">
        <f>SUMIF($L$51:$L$78,"Operating Long-Term Liability",J$51:J$78)</f>
        <v/>
      </c>
      <c r="K30" s="10">
        <f>SUMIF($L$51:$L$78,"Operating Long-Term Liability",K$51:K$78)</f>
        <v/>
      </c>
    </row>
    <row r="31">
      <c r="A31" s="17" t="inlineStr">
        <is>
          <t>NET OPERATING LT ASSETS</t>
        </is>
      </c>
      <c r="B31" s="18">
        <f>B29-B30</f>
        <v/>
      </c>
      <c r="C31" s="18">
        <f>C29-C30</f>
        <v/>
      </c>
      <c r="D31" s="18">
        <f>D29-D30</f>
        <v/>
      </c>
      <c r="E31" s="18">
        <f>E29-E30</f>
        <v/>
      </c>
      <c r="F31" s="18">
        <f>F29-F30</f>
        <v/>
      </c>
      <c r="G31" s="18">
        <f>G29-G30</f>
        <v/>
      </c>
      <c r="H31" s="18">
        <f>H29-H30</f>
        <v/>
      </c>
      <c r="I31" s="18">
        <f>I29-I30</f>
        <v/>
      </c>
      <c r="J31" s="18">
        <f>J29-J30</f>
        <v/>
      </c>
      <c r="K31" s="18">
        <f>K29-K30</f>
        <v/>
      </c>
    </row>
    <row r="32"/>
    <row r="33">
      <c r="A33" s="19" t="inlineStr">
        <is>
          <t>NET OPERATING ASSETS (NOA)</t>
        </is>
      </c>
      <c r="B33" s="20">
        <f>B27+B31</f>
        <v/>
      </c>
      <c r="C33" s="20">
        <f>C27+C31</f>
        <v/>
      </c>
      <c r="D33" s="20">
        <f>D27+D31</f>
        <v/>
      </c>
      <c r="E33" s="20">
        <f>E27+E31</f>
        <v/>
      </c>
      <c r="F33" s="20">
        <f>F27+F31</f>
        <v/>
      </c>
      <c r="G33" s="20">
        <f>G27+G31</f>
        <v/>
      </c>
      <c r="H33" s="20">
        <f>H27+H31</f>
        <v/>
      </c>
      <c r="I33" s="20">
        <f>I27+I31</f>
        <v/>
      </c>
      <c r="J33" s="20">
        <f>J27+J31</f>
        <v/>
      </c>
      <c r="K33" s="20">
        <f>K27+K31</f>
        <v/>
      </c>
    </row>
    <row r="34"/>
    <row r="35">
      <c r="A35" s="8" t="inlineStr">
        <is>
          <t>Financial Assets</t>
        </is>
      </c>
      <c r="B35" s="10">
        <f>SUMIF($L$51:$L$78,"Financial Asset",B$51:B$78)</f>
        <v/>
      </c>
      <c r="C35" s="10">
        <f>SUMIF($L$51:$L$78,"Financial Asset",C$51:C$78)</f>
        <v/>
      </c>
      <c r="D35" s="10">
        <f>SUMIF($L$51:$L$78,"Financial Asset",D$51:D$78)</f>
        <v/>
      </c>
      <c r="E35" s="10">
        <f>SUMIF($L$51:$L$78,"Financial Asset",E$51:E$78)</f>
        <v/>
      </c>
      <c r="F35" s="10">
        <f>SUMIF($L$51:$L$78,"Financial Asset",F$51:F$78)</f>
        <v/>
      </c>
      <c r="G35" s="10">
        <f>SUMIF($L$51:$L$78,"Financial Asset",G$51:G$78)</f>
        <v/>
      </c>
      <c r="H35" s="10">
        <f>SUMIF($L$51:$L$78,"Financial Asset",H$51:H$78)</f>
        <v/>
      </c>
      <c r="I35" s="10">
        <f>SUMIF($L$51:$L$78,"Financial Asset",I$51:I$78)</f>
        <v/>
      </c>
      <c r="J35" s="10">
        <f>SUMIF($L$51:$L$78,"Financial Asset",J$51:J$78)</f>
        <v/>
      </c>
      <c r="K35" s="10">
        <f>SUMIF($L$51:$L$78,"Financial Asset",K$51:K$78)</f>
        <v/>
      </c>
    </row>
    <row r="36">
      <c r="A36" s="8" t="inlineStr">
        <is>
          <t>Financial Liabilities</t>
        </is>
      </c>
      <c r="B36" s="10">
        <f>SUMIF($L$51:$L$78,"Financial Liability",B$51:B$78)</f>
        <v/>
      </c>
      <c r="C36" s="10">
        <f>SUMIF($L$51:$L$78,"Financial Liability",C$51:C$78)</f>
        <v/>
      </c>
      <c r="D36" s="10">
        <f>SUMIF($L$51:$L$78,"Financial Liability",D$51:D$78)</f>
        <v/>
      </c>
      <c r="E36" s="10">
        <f>SUMIF($L$51:$L$78,"Financial Liability",E$51:E$78)</f>
        <v/>
      </c>
      <c r="F36" s="10">
        <f>SUMIF($L$51:$L$78,"Financial Liability",F$51:F$78)</f>
        <v/>
      </c>
      <c r="G36" s="10">
        <f>SUMIF($L$51:$L$78,"Financial Liability",G$51:G$78)</f>
        <v/>
      </c>
      <c r="H36" s="10">
        <f>SUMIF($L$51:$L$78,"Financial Liability",H$51:H$78)</f>
        <v/>
      </c>
      <c r="I36" s="10">
        <f>SUMIF($L$51:$L$78,"Financial Liability",I$51:I$78)</f>
        <v/>
      </c>
      <c r="J36" s="10">
        <f>SUMIF($L$51:$L$78,"Financial Liability",J$51:J$78)</f>
        <v/>
      </c>
      <c r="K36" s="10">
        <f>SUMIF($L$51:$L$78,"Financial Liability",K$51:K$78)</f>
        <v/>
      </c>
    </row>
    <row r="37">
      <c r="A37" s="19" t="inlineStr">
        <is>
          <t>NET DEBT (Fin Liab - Fin Assets)</t>
        </is>
      </c>
      <c r="B37" s="20">
        <f>B36-B35</f>
        <v/>
      </c>
      <c r="C37" s="20">
        <f>C36-C35</f>
        <v/>
      </c>
      <c r="D37" s="20">
        <f>D36-D35</f>
        <v/>
      </c>
      <c r="E37" s="20">
        <f>E36-E35</f>
        <v/>
      </c>
      <c r="F37" s="20">
        <f>F36-F35</f>
        <v/>
      </c>
      <c r="G37" s="20">
        <f>G36-G35</f>
        <v/>
      </c>
      <c r="H37" s="20">
        <f>H36-H35</f>
        <v/>
      </c>
      <c r="I37" s="20">
        <f>I36-I35</f>
        <v/>
      </c>
      <c r="J37" s="20">
        <f>J36-J35</f>
        <v/>
      </c>
      <c r="K37" s="20">
        <f>K36-K35</f>
        <v/>
      </c>
    </row>
    <row r="38">
      <c r="A38" s="21" t="inlineStr">
        <is>
          <t>NOTE: Negative Net Debt = net cash position (Fin Assets &gt; Fin Liab)</t>
        </is>
      </c>
    </row>
    <row r="39"/>
    <row r="40">
      <c r="A40" s="19" t="inlineStr">
        <is>
          <t>EQUITY (NOA - Net Debt)</t>
        </is>
      </c>
      <c r="B40" s="20">
        <f>B33-B37</f>
        <v/>
      </c>
      <c r="C40" s="20">
        <f>C33-C37</f>
        <v/>
      </c>
      <c r="D40" s="20">
        <f>D33-D37</f>
        <v/>
      </c>
      <c r="E40" s="20">
        <f>E33-E37</f>
        <v/>
      </c>
      <c r="F40" s="20">
        <f>F33-F37</f>
        <v/>
      </c>
      <c r="G40" s="20">
        <f>G33-G37</f>
        <v/>
      </c>
      <c r="H40" s="20">
        <f>H33-H37</f>
        <v/>
      </c>
      <c r="I40" s="20">
        <f>I33-I37</f>
        <v/>
      </c>
      <c r="J40" s="20">
        <f>J33-J37</f>
        <v/>
      </c>
      <c r="K40" s="20">
        <f>K33-K37</f>
        <v/>
      </c>
    </row>
    <row r="41">
      <c r="A41" s="8" t="inlineStr">
        <is>
          <t>Reported Equity</t>
        </is>
      </c>
      <c r="B41" s="15">
        <f>'Balance Sheet'!B48</f>
        <v/>
      </c>
      <c r="C41" s="15">
        <f>'Balance Sheet'!C48</f>
        <v/>
      </c>
      <c r="D41" s="15">
        <f>'Balance Sheet'!D48</f>
        <v/>
      </c>
      <c r="E41" s="15">
        <f>'Balance Sheet'!E48</f>
        <v/>
      </c>
      <c r="F41" s="15">
        <f>'Balance Sheet'!F48</f>
        <v/>
      </c>
      <c r="G41" s="15">
        <f>'Balance Sheet'!G48</f>
        <v/>
      </c>
      <c r="H41" s="15">
        <f>'Balance Sheet'!H48</f>
        <v/>
      </c>
      <c r="I41" s="15">
        <f>'Balance Sheet'!I48</f>
        <v/>
      </c>
      <c r="J41" s="15">
        <f>'Balance Sheet'!J48</f>
        <v/>
      </c>
      <c r="K41" s="15">
        <f>'Balance Sheet'!K48</f>
        <v/>
      </c>
    </row>
    <row r="42"/>
    <row r="43"/>
    <row r="44">
      <c r="A44" s="8" t="inlineStr">
        <is>
          <t>TOTAL CAPITAL (Net Debt + Equity)</t>
        </is>
      </c>
      <c r="B44" s="10">
        <f>B37+B40</f>
        <v/>
      </c>
      <c r="C44" s="10">
        <f>C37+C40</f>
        <v/>
      </c>
      <c r="D44" s="10">
        <f>D37+D40</f>
        <v/>
      </c>
      <c r="E44" s="10">
        <f>E37+E40</f>
        <v/>
      </c>
      <c r="F44" s="10">
        <f>F37+F40</f>
        <v/>
      </c>
      <c r="G44" s="10">
        <f>G37+G40</f>
        <v/>
      </c>
      <c r="H44" s="10">
        <f>H37+H40</f>
        <v/>
      </c>
      <c r="I44" s="10">
        <f>I37+I40</f>
        <v/>
      </c>
      <c r="J44" s="10">
        <f>J37+J40</f>
        <v/>
      </c>
      <c r="K44" s="10">
        <f>K37+K40</f>
        <v/>
      </c>
    </row>
    <row r="45">
      <c r="A45" s="22" t="inlineStr">
        <is>
          <t>CHECK: implied equity = reported equity</t>
        </is>
      </c>
      <c r="B45" s="10">
        <f>IF(ABS(B40-B41)&lt;1,"OK","CHECK")</f>
        <v/>
      </c>
      <c r="C45" s="10">
        <f>IF(ABS(C40-C41)&lt;1,"OK","CHECK")</f>
        <v/>
      </c>
      <c r="D45" s="10">
        <f>IF(ABS(D40-D41)&lt;1,"OK","CHECK")</f>
        <v/>
      </c>
      <c r="E45" s="10">
        <f>IF(ABS(E40-E41)&lt;1,"OK","CHECK")</f>
        <v/>
      </c>
      <c r="F45" s="10">
        <f>IF(ABS(F40-F41)&lt;1,"OK","CHECK")</f>
        <v/>
      </c>
      <c r="G45" s="10">
        <f>IF(ABS(G40-G41)&lt;1,"OK","CHECK")</f>
        <v/>
      </c>
      <c r="H45" s="10">
        <f>IF(ABS(H40-H41)&lt;1,"OK","CHECK")</f>
        <v/>
      </c>
      <c r="I45" s="10">
        <f>IF(ABS(I40-I41)&lt;1,"OK","CHECK")</f>
        <v/>
      </c>
      <c r="J45" s="10">
        <f>IF(ABS(J40-J41)&lt;1,"OK","CHECK")</f>
        <v/>
      </c>
      <c r="K45" s="10">
        <f>IF(ABS(K40-K41)&lt;1,"OK","CHECK")</f>
        <v/>
      </c>
    </row>
    <row r="46"/>
    <row r="47"/>
    <row r="48"/>
    <row r="49">
      <c r="A49" s="8" t="inlineStr">
        <is>
          <t>C. BALANCE SHEET CLASSIFICATION TABLE (interactive)</t>
        </is>
      </c>
      <c r="L49" s="23" t="inlineStr">
        <is>
          <t>▼ TOGGLE HERE: click any cell below — a dropdown menu appears</t>
        </is>
      </c>
    </row>
    <row r="50">
      <c r="A50" s="12" t="inlineStr">
        <is>
          <t>Line Item</t>
        </is>
      </c>
      <c r="B50" s="13">
        <f>'Balance Sheet'!B6</f>
        <v/>
      </c>
      <c r="C50" s="13">
        <f>'Balance Sheet'!C6</f>
        <v/>
      </c>
      <c r="D50" s="13">
        <f>'Balance Sheet'!D6</f>
        <v/>
      </c>
      <c r="E50" s="13">
        <f>'Balance Sheet'!E6</f>
        <v/>
      </c>
      <c r="F50" s="13">
        <f>'Balance Sheet'!F6</f>
        <v/>
      </c>
      <c r="G50" s="13">
        <f>'Balance Sheet'!G6</f>
        <v/>
      </c>
      <c r="H50" s="13">
        <f>'Balance Sheet'!H6</f>
        <v/>
      </c>
      <c r="I50" s="13">
        <f>'Balance Sheet'!I6</f>
        <v/>
      </c>
      <c r="J50" s="13">
        <f>'Balance Sheet'!J6</f>
        <v/>
      </c>
      <c r="K50" s="13">
        <f>'Balance Sheet'!K6</f>
        <v/>
      </c>
      <c r="L50" s="12" t="inlineStr">
        <is>
          <t>Classification (click → ▼)</t>
        </is>
      </c>
      <c r="M50" s="12" t="inlineStr">
        <is>
          <t>Notes</t>
        </is>
      </c>
    </row>
    <row r="51">
      <c r="A51" t="inlineStr">
        <is>
          <t>Cash and cash equivalents</t>
        </is>
      </c>
      <c r="B51" s="4">
        <f>'Balance Sheet'!B8</f>
        <v/>
      </c>
      <c r="C51" s="4">
        <f>'Balance Sheet'!C8</f>
        <v/>
      </c>
      <c r="D51" s="4">
        <f>'Balance Sheet'!D8</f>
        <v/>
      </c>
      <c r="E51" s="4">
        <f>'Balance Sheet'!E8</f>
        <v/>
      </c>
      <c r="F51" s="4">
        <f>'Balance Sheet'!F8</f>
        <v/>
      </c>
      <c r="G51" s="4">
        <f>'Balance Sheet'!G8</f>
        <v/>
      </c>
      <c r="H51" s="4">
        <f>'Balance Sheet'!H8</f>
        <v/>
      </c>
      <c r="I51" s="4">
        <f>'Balance Sheet'!I8</f>
        <v/>
      </c>
      <c r="J51" s="4">
        <f>'Balance Sheet'!J8</f>
        <v/>
      </c>
      <c r="K51" s="4">
        <f>'Balance Sheet'!K8</f>
        <v/>
      </c>
      <c r="L51" s="24" t="inlineStr">
        <is>
          <t>Financial Asset</t>
        </is>
      </c>
    </row>
    <row r="52">
      <c r="A52" t="inlineStr">
        <is>
          <t>Marketable securities</t>
        </is>
      </c>
      <c r="B52" s="4">
        <f>'Balance Sheet'!B9</f>
        <v/>
      </c>
      <c r="C52" s="4">
        <f>'Balance Sheet'!C9</f>
        <v/>
      </c>
      <c r="D52" s="4">
        <f>'Balance Sheet'!D9</f>
        <v/>
      </c>
      <c r="E52" s="4">
        <f>'Balance Sheet'!E9</f>
        <v/>
      </c>
      <c r="F52" s="4">
        <f>'Balance Sheet'!F9</f>
        <v/>
      </c>
      <c r="G52" s="4">
        <f>'Balance Sheet'!G9</f>
        <v/>
      </c>
      <c r="H52" s="4">
        <f>'Balance Sheet'!H9</f>
        <v/>
      </c>
      <c r="I52" s="4">
        <f>'Balance Sheet'!I9</f>
        <v/>
      </c>
      <c r="J52" s="4">
        <f>'Balance Sheet'!J9</f>
        <v/>
      </c>
      <c r="K52" s="4">
        <f>'Balance Sheet'!K9</f>
        <v/>
      </c>
      <c r="L52" s="24" t="inlineStr">
        <is>
          <t>Financial Asset</t>
        </is>
      </c>
    </row>
    <row r="53">
      <c r="A53" t="inlineStr">
        <is>
          <t>Accounts receivable, net</t>
        </is>
      </c>
      <c r="B53" s="4">
        <f>'Balance Sheet'!B10</f>
        <v/>
      </c>
      <c r="C53" s="4">
        <f>'Balance Sheet'!C10</f>
        <v/>
      </c>
      <c r="D53" s="4">
        <f>'Balance Sheet'!D10</f>
        <v/>
      </c>
      <c r="E53" s="4">
        <f>'Balance Sheet'!E10</f>
        <v/>
      </c>
      <c r="F53" s="4">
        <f>'Balance Sheet'!F10</f>
        <v/>
      </c>
      <c r="G53" s="4">
        <f>'Balance Sheet'!G10</f>
        <v/>
      </c>
      <c r="H53" s="4">
        <f>'Balance Sheet'!H10</f>
        <v/>
      </c>
      <c r="I53" s="4">
        <f>'Balance Sheet'!I10</f>
        <v/>
      </c>
      <c r="J53" s="4">
        <f>'Balance Sheet'!J10</f>
        <v/>
      </c>
      <c r="K53" s="4">
        <f>'Balance Sheet'!K10</f>
        <v/>
      </c>
      <c r="L53" s="24" t="inlineStr">
        <is>
          <t>Operating Working Capital Asset</t>
        </is>
      </c>
    </row>
    <row r="54">
      <c r="A54" t="inlineStr">
        <is>
          <t>Income taxes receivable, net</t>
        </is>
      </c>
      <c r="B54" s="4">
        <f>'Balance Sheet'!B11</f>
        <v/>
      </c>
      <c r="C54" s="4">
        <f>'Balance Sheet'!C11</f>
        <v/>
      </c>
      <c r="D54" s="4">
        <f>'Balance Sheet'!D11</f>
        <v/>
      </c>
      <c r="E54" s="4">
        <f>'Balance Sheet'!E11</f>
        <v/>
      </c>
      <c r="F54" s="4">
        <f>'Balance Sheet'!F11</f>
        <v/>
      </c>
      <c r="G54" s="4">
        <f>'Balance Sheet'!G11</f>
        <v/>
      </c>
      <c r="H54" s="4">
        <f>'Balance Sheet'!H11</f>
        <v/>
      </c>
      <c r="I54" s="4">
        <f>'Balance Sheet'!I11</f>
        <v/>
      </c>
      <c r="J54" s="4">
        <f>'Balance Sheet'!J11</f>
        <v/>
      </c>
      <c r="K54" s="4">
        <f>'Balance Sheet'!K11</f>
        <v/>
      </c>
      <c r="L54" s="24" t="inlineStr">
        <is>
          <t>Operating Working Capital Asset</t>
        </is>
      </c>
    </row>
    <row r="55">
      <c r="A55" t="inlineStr">
        <is>
          <t>Inventory</t>
        </is>
      </c>
      <c r="B55" s="4">
        <f>'Balance Sheet'!B12</f>
        <v/>
      </c>
      <c r="C55" s="4">
        <f>'Balance Sheet'!C12</f>
        <v/>
      </c>
      <c r="D55" s="4">
        <f>'Balance Sheet'!D12</f>
        <v/>
      </c>
      <c r="E55" s="4">
        <f>'Balance Sheet'!E12</f>
        <v/>
      </c>
      <c r="F55" s="4">
        <f>'Balance Sheet'!F12</f>
        <v/>
      </c>
      <c r="G55" s="4">
        <f>'Balance Sheet'!G12</f>
        <v/>
      </c>
      <c r="H55" s="4">
        <f>'Balance Sheet'!H12</f>
        <v/>
      </c>
      <c r="I55" s="4">
        <f>'Balance Sheet'!I12</f>
        <v/>
      </c>
      <c r="J55" s="4">
        <f>'Balance Sheet'!J12</f>
        <v/>
      </c>
      <c r="K55" s="4">
        <f>'Balance Sheet'!K12</f>
        <v/>
      </c>
      <c r="L55" s="24" t="inlineStr">
        <is>
          <t>Operating Working Capital Asset</t>
        </is>
      </c>
    </row>
    <row r="56">
      <c r="A56" t="inlineStr">
        <is>
          <t>Other current assets</t>
        </is>
      </c>
      <c r="B56" s="4">
        <f>'Balance Sheet'!B13</f>
        <v/>
      </c>
      <c r="C56" s="4">
        <f>'Balance Sheet'!C13</f>
        <v/>
      </c>
      <c r="D56" s="4">
        <f>'Balance Sheet'!D13</f>
        <v/>
      </c>
      <c r="E56" s="4">
        <f>'Balance Sheet'!E13</f>
        <v/>
      </c>
      <c r="F56" s="4">
        <f>'Balance Sheet'!F13</f>
        <v/>
      </c>
      <c r="G56" s="4">
        <f>'Balance Sheet'!G13</f>
        <v/>
      </c>
      <c r="H56" s="4">
        <f>'Balance Sheet'!H13</f>
        <v/>
      </c>
      <c r="I56" s="4">
        <f>'Balance Sheet'!I13</f>
        <v/>
      </c>
      <c r="J56" s="4">
        <f>'Balance Sheet'!J13</f>
        <v/>
      </c>
      <c r="K56" s="4">
        <f>'Balance Sheet'!K13</f>
        <v/>
      </c>
      <c r="L56" s="24" t="inlineStr">
        <is>
          <t>Operating Working Capital Asset</t>
        </is>
      </c>
    </row>
    <row r="57">
      <c r="A57" t="inlineStr">
        <is>
          <t>Non-marketable securities</t>
        </is>
      </c>
      <c r="B57" s="4">
        <f>'Balance Sheet'!B17</f>
        <v/>
      </c>
      <c r="C57" s="4">
        <f>'Balance Sheet'!C17</f>
        <v/>
      </c>
      <c r="D57" s="4">
        <f>'Balance Sheet'!D17</f>
        <v/>
      </c>
      <c r="E57" s="4">
        <f>'Balance Sheet'!E17</f>
        <v/>
      </c>
      <c r="F57" s="4">
        <f>'Balance Sheet'!F17</f>
        <v/>
      </c>
      <c r="G57" s="4">
        <f>'Balance Sheet'!G17</f>
        <v/>
      </c>
      <c r="H57" s="4">
        <f>'Balance Sheet'!H17</f>
        <v/>
      </c>
      <c r="I57" s="4">
        <f>'Balance Sheet'!I17</f>
        <v/>
      </c>
      <c r="J57" s="4">
        <f>'Balance Sheet'!J17</f>
        <v/>
      </c>
      <c r="K57" s="4">
        <f>'Balance Sheet'!K17</f>
        <v/>
      </c>
      <c r="L57" s="24" t="inlineStr">
        <is>
          <t>Operating Long-Term Asset</t>
        </is>
      </c>
      <c r="M57" s="11" t="inlineStr">
        <is>
          <t>Convention: non-marketable/strategic stakes -&gt; Operating LT Asset</t>
        </is>
      </c>
    </row>
    <row r="58">
      <c r="A58" t="inlineStr">
        <is>
          <t>Deferred income taxes</t>
        </is>
      </c>
      <c r="B58" s="4">
        <f>'Balance Sheet'!B18</f>
        <v/>
      </c>
      <c r="C58" s="4">
        <f>'Balance Sheet'!C18</f>
        <v/>
      </c>
      <c r="D58" s="4">
        <f>'Balance Sheet'!D18</f>
        <v/>
      </c>
      <c r="E58" s="4">
        <f>'Balance Sheet'!E18</f>
        <v/>
      </c>
      <c r="F58" s="4">
        <f>'Balance Sheet'!F18</f>
        <v/>
      </c>
      <c r="G58" s="4">
        <f>'Balance Sheet'!G18</f>
        <v/>
      </c>
      <c r="H58" s="4">
        <f>'Balance Sheet'!H18</f>
        <v/>
      </c>
      <c r="I58" s="4">
        <f>'Balance Sheet'!I18</f>
        <v/>
      </c>
      <c r="J58" s="4">
        <f>'Balance Sheet'!J18</f>
        <v/>
      </c>
      <c r="K58" s="4">
        <f>'Balance Sheet'!K18</f>
        <v/>
      </c>
      <c r="L58" s="24" t="inlineStr">
        <is>
          <t>Operating Long-Term Asset</t>
        </is>
      </c>
      <c r="M58" s="11" t="inlineStr">
        <is>
          <t>⚠ judgment: operating vs exclude</t>
        </is>
      </c>
    </row>
    <row r="59">
      <c r="A59" t="inlineStr">
        <is>
          <t>Property and equipment, net</t>
        </is>
      </c>
      <c r="B59" s="4">
        <f>'Balance Sheet'!B19</f>
        <v/>
      </c>
      <c r="C59" s="4">
        <f>'Balance Sheet'!C19</f>
        <v/>
      </c>
      <c r="D59" s="4">
        <f>'Balance Sheet'!D19</f>
        <v/>
      </c>
      <c r="E59" s="4">
        <f>'Balance Sheet'!E19</f>
        <v/>
      </c>
      <c r="F59" s="4">
        <f>'Balance Sheet'!F19</f>
        <v/>
      </c>
      <c r="G59" s="4">
        <f>'Balance Sheet'!G19</f>
        <v/>
      </c>
      <c r="H59" s="4">
        <f>'Balance Sheet'!H19</f>
        <v/>
      </c>
      <c r="I59" s="4">
        <f>'Balance Sheet'!I19</f>
        <v/>
      </c>
      <c r="J59" s="4">
        <f>'Balance Sheet'!J19</f>
        <v/>
      </c>
      <c r="K59" s="4">
        <f>'Balance Sheet'!K19</f>
        <v/>
      </c>
      <c r="L59" s="24" t="inlineStr">
        <is>
          <t>Operating Long-Term Asset</t>
        </is>
      </c>
    </row>
    <row r="60">
      <c r="A60" t="inlineStr">
        <is>
          <t>Operating lease assets</t>
        </is>
      </c>
      <c r="B60" s="4">
        <f>'Balance Sheet'!B20</f>
        <v/>
      </c>
      <c r="C60" s="4">
        <f>'Balance Sheet'!C20</f>
        <v/>
      </c>
      <c r="D60" s="4">
        <f>'Balance Sheet'!D20</f>
        <v/>
      </c>
      <c r="E60" s="4">
        <f>'Balance Sheet'!E20</f>
        <v/>
      </c>
      <c r="F60" s="4">
        <f>'Balance Sheet'!F20</f>
        <v/>
      </c>
      <c r="G60" s="4">
        <f>'Balance Sheet'!G20</f>
        <v/>
      </c>
      <c r="H60" s="4">
        <f>'Balance Sheet'!H20</f>
        <v/>
      </c>
      <c r="I60" s="4">
        <f>'Balance Sheet'!I20</f>
        <v/>
      </c>
      <c r="J60" s="4">
        <f>'Balance Sheet'!J20</f>
        <v/>
      </c>
      <c r="K60" s="4">
        <f>'Balance Sheet'!K20</f>
        <v/>
      </c>
      <c r="L60" s="24" t="inlineStr">
        <is>
          <t>Operating Long-Term Asset</t>
        </is>
      </c>
      <c r="M60" s="11" t="inlineStr">
        <is>
          <t>⚠ judgment: operating vs financial</t>
        </is>
      </c>
    </row>
    <row r="61">
      <c r="A61" t="inlineStr">
        <is>
          <t>Goodwill</t>
        </is>
      </c>
      <c r="B61" s="4">
        <f>'Balance Sheet'!B21</f>
        <v/>
      </c>
      <c r="C61" s="4">
        <f>'Balance Sheet'!C21</f>
        <v/>
      </c>
      <c r="D61" s="4">
        <f>'Balance Sheet'!D21</f>
        <v/>
      </c>
      <c r="E61" s="4">
        <f>'Balance Sheet'!E21</f>
        <v/>
      </c>
      <c r="F61" s="4">
        <f>'Balance Sheet'!F21</f>
        <v/>
      </c>
      <c r="G61" s="4">
        <f>'Balance Sheet'!G21</f>
        <v/>
      </c>
      <c r="H61" s="4">
        <f>'Balance Sheet'!H21</f>
        <v/>
      </c>
      <c r="I61" s="4">
        <f>'Balance Sheet'!I21</f>
        <v/>
      </c>
      <c r="J61" s="4">
        <f>'Balance Sheet'!J21</f>
        <v/>
      </c>
      <c r="K61" s="4">
        <f>'Balance Sheet'!K21</f>
        <v/>
      </c>
      <c r="L61" s="24" t="inlineStr">
        <is>
          <t>Operating Long-Term Asset</t>
        </is>
      </c>
    </row>
    <row r="62">
      <c r="A62" t="inlineStr">
        <is>
          <t>Intangible assets, net</t>
        </is>
      </c>
      <c r="B62" s="4">
        <f>'Balance Sheet'!B22</f>
        <v/>
      </c>
      <c r="C62" s="4">
        <f>'Balance Sheet'!C22</f>
        <v/>
      </c>
      <c r="D62" s="4">
        <f>'Balance Sheet'!D22</f>
        <v/>
      </c>
      <c r="E62" s="4">
        <f>'Balance Sheet'!E22</f>
        <v/>
      </c>
      <c r="F62" s="4">
        <f>'Balance Sheet'!F22</f>
        <v/>
      </c>
      <c r="G62" s="4">
        <f>'Balance Sheet'!G22</f>
        <v/>
      </c>
      <c r="H62" s="4">
        <f>'Balance Sheet'!H22</f>
        <v/>
      </c>
      <c r="I62" s="4">
        <f>'Balance Sheet'!I22</f>
        <v/>
      </c>
      <c r="J62" s="4">
        <f>'Balance Sheet'!J22</f>
        <v/>
      </c>
      <c r="K62" s="4">
        <f>'Balance Sheet'!K22</f>
        <v/>
      </c>
      <c r="L62" s="24" t="inlineStr">
        <is>
          <t>Operating Long-Term Asset</t>
        </is>
      </c>
    </row>
    <row r="63">
      <c r="A63" t="inlineStr">
        <is>
          <t>Other non-current assets</t>
        </is>
      </c>
      <c r="B63" s="4">
        <f>'Balance Sheet'!B23</f>
        <v/>
      </c>
      <c r="C63" s="4">
        <f>'Balance Sheet'!C23</f>
        <v/>
      </c>
      <c r="D63" s="4">
        <f>'Balance Sheet'!D23</f>
        <v/>
      </c>
      <c r="E63" s="4">
        <f>'Balance Sheet'!E23</f>
        <v/>
      </c>
      <c r="F63" s="4">
        <f>'Balance Sheet'!F23</f>
        <v/>
      </c>
      <c r="G63" s="4">
        <f>'Balance Sheet'!G23</f>
        <v/>
      </c>
      <c r="H63" s="4">
        <f>'Balance Sheet'!H23</f>
        <v/>
      </c>
      <c r="I63" s="4">
        <f>'Balance Sheet'!I23</f>
        <v/>
      </c>
      <c r="J63" s="4">
        <f>'Balance Sheet'!J23</f>
        <v/>
      </c>
      <c r="K63" s="4">
        <f>'Balance Sheet'!K23</f>
        <v/>
      </c>
      <c r="L63" s="24" t="inlineStr">
        <is>
          <t>Operating Long-Term Asset</t>
        </is>
      </c>
    </row>
    <row r="64">
      <c r="A64" t="inlineStr">
        <is>
          <t>Accounts payable</t>
        </is>
      </c>
      <c r="B64" s="4">
        <f>'Balance Sheet'!B27</f>
        <v/>
      </c>
      <c r="C64" s="4">
        <f>'Balance Sheet'!C27</f>
        <v/>
      </c>
      <c r="D64" s="4">
        <f>'Balance Sheet'!D27</f>
        <v/>
      </c>
      <c r="E64" s="4">
        <f>'Balance Sheet'!E27</f>
        <v/>
      </c>
      <c r="F64" s="4">
        <f>'Balance Sheet'!F27</f>
        <v/>
      </c>
      <c r="G64" s="4">
        <f>'Balance Sheet'!G27</f>
        <v/>
      </c>
      <c r="H64" s="4">
        <f>'Balance Sheet'!H27</f>
        <v/>
      </c>
      <c r="I64" s="4">
        <f>'Balance Sheet'!I27</f>
        <v/>
      </c>
      <c r="J64" s="4">
        <f>'Balance Sheet'!J27</f>
        <v/>
      </c>
      <c r="K64" s="4">
        <f>'Balance Sheet'!K27</f>
        <v/>
      </c>
      <c r="L64" s="24" t="inlineStr">
        <is>
          <t>Operating Working Capital Liability</t>
        </is>
      </c>
    </row>
    <row r="65">
      <c r="A65" t="inlineStr">
        <is>
          <t>Accrued compensation and benefits</t>
        </is>
      </c>
      <c r="B65" s="4">
        <f>'Balance Sheet'!B28</f>
        <v/>
      </c>
      <c r="C65" s="4">
        <f>'Balance Sheet'!C28</f>
        <v/>
      </c>
      <c r="D65" s="4">
        <f>'Balance Sheet'!D28</f>
        <v/>
      </c>
      <c r="E65" s="4">
        <f>'Balance Sheet'!E28</f>
        <v/>
      </c>
      <c r="F65" s="4">
        <f>'Balance Sheet'!F28</f>
        <v/>
      </c>
      <c r="G65" s="4">
        <f>'Balance Sheet'!G28</f>
        <v/>
      </c>
      <c r="H65" s="4">
        <f>'Balance Sheet'!H28</f>
        <v/>
      </c>
      <c r="I65" s="4">
        <f>'Balance Sheet'!I28</f>
        <v/>
      </c>
      <c r="J65" s="4">
        <f>'Balance Sheet'!J28</f>
        <v/>
      </c>
      <c r="K65" s="4">
        <f>'Balance Sheet'!K28</f>
        <v/>
      </c>
      <c r="L65" s="24" t="inlineStr">
        <is>
          <t>Financial Liability</t>
        </is>
      </c>
      <c r="M65" s="11" t="inlineStr">
        <is>
          <t>Convention: accrued compensation -&gt; Financial Liability</t>
        </is>
      </c>
    </row>
    <row r="66">
      <c r="A66" t="inlineStr">
        <is>
          <t>Accrued expenses and other current liabilities</t>
        </is>
      </c>
      <c r="B66" s="4">
        <f>'Balance Sheet'!B29</f>
        <v/>
      </c>
      <c r="C66" s="4">
        <f>'Balance Sheet'!C29</f>
        <v/>
      </c>
      <c r="D66" s="4">
        <f>'Balance Sheet'!D29</f>
        <v/>
      </c>
      <c r="E66" s="4">
        <f>'Balance Sheet'!E29</f>
        <v/>
      </c>
      <c r="F66" s="4">
        <f>'Balance Sheet'!F29</f>
        <v/>
      </c>
      <c r="G66" s="4">
        <f>'Balance Sheet'!G29</f>
        <v/>
      </c>
      <c r="H66" s="4">
        <f>'Balance Sheet'!H29</f>
        <v/>
      </c>
      <c r="I66" s="4">
        <f>'Balance Sheet'!I29</f>
        <v/>
      </c>
      <c r="J66" s="4">
        <f>'Balance Sheet'!J29</f>
        <v/>
      </c>
      <c r="K66" s="4">
        <f>'Balance Sheet'!K29</f>
        <v/>
      </c>
      <c r="L66" s="24" t="inlineStr">
        <is>
          <t>Operating Working Capital Liability</t>
        </is>
      </c>
    </row>
    <row r="67">
      <c r="A67" t="inlineStr">
        <is>
          <t>Accrued revenue share</t>
        </is>
      </c>
      <c r="B67" s="4">
        <f>'Balance Sheet'!B30</f>
        <v/>
      </c>
      <c r="C67" s="4">
        <f>'Balance Sheet'!C30</f>
        <v/>
      </c>
      <c r="D67" s="4">
        <f>'Balance Sheet'!D30</f>
        <v/>
      </c>
      <c r="E67" s="4">
        <f>'Balance Sheet'!E30</f>
        <v/>
      </c>
      <c r="F67" s="4">
        <f>'Balance Sheet'!F30</f>
        <v/>
      </c>
      <c r="G67" s="4">
        <f>'Balance Sheet'!G30</f>
        <v/>
      </c>
      <c r="H67" s="4">
        <f>'Balance Sheet'!H30</f>
        <v/>
      </c>
      <c r="I67" s="4">
        <f>'Balance Sheet'!I30</f>
        <v/>
      </c>
      <c r="J67" s="4">
        <f>'Balance Sheet'!J30</f>
        <v/>
      </c>
      <c r="K67" s="4">
        <f>'Balance Sheet'!K30</f>
        <v/>
      </c>
      <c r="L67" s="24" t="inlineStr">
        <is>
          <t>Operating Working Capital Liability</t>
        </is>
      </c>
    </row>
    <row r="68">
      <c r="A68" t="inlineStr">
        <is>
          <t>Deferred revenue</t>
        </is>
      </c>
      <c r="B68" s="4">
        <f>'Balance Sheet'!B31</f>
        <v/>
      </c>
      <c r="C68" s="4">
        <f>'Balance Sheet'!C31</f>
        <v/>
      </c>
      <c r="D68" s="4">
        <f>'Balance Sheet'!D31</f>
        <v/>
      </c>
      <c r="E68" s="4">
        <f>'Balance Sheet'!E31</f>
        <v/>
      </c>
      <c r="F68" s="4">
        <f>'Balance Sheet'!F31</f>
        <v/>
      </c>
      <c r="G68" s="4">
        <f>'Balance Sheet'!G31</f>
        <v/>
      </c>
      <c r="H68" s="4">
        <f>'Balance Sheet'!H31</f>
        <v/>
      </c>
      <c r="I68" s="4">
        <f>'Balance Sheet'!I31</f>
        <v/>
      </c>
      <c r="J68" s="4">
        <f>'Balance Sheet'!J31</f>
        <v/>
      </c>
      <c r="K68" s="4">
        <f>'Balance Sheet'!K31</f>
        <v/>
      </c>
      <c r="L68" s="24" t="inlineStr">
        <is>
          <t>Operating Working Capital Liability</t>
        </is>
      </c>
    </row>
    <row r="69">
      <c r="A69" t="inlineStr">
        <is>
          <t>Income taxes payable, net</t>
        </is>
      </c>
      <c r="B69" s="4">
        <f>'Balance Sheet'!B32</f>
        <v/>
      </c>
      <c r="C69" s="4">
        <f>'Balance Sheet'!C32</f>
        <v/>
      </c>
      <c r="D69" s="4">
        <f>'Balance Sheet'!D32</f>
        <v/>
      </c>
      <c r="E69" s="4">
        <f>'Balance Sheet'!E32</f>
        <v/>
      </c>
      <c r="F69" s="4">
        <f>'Balance Sheet'!F32</f>
        <v/>
      </c>
      <c r="G69" s="4">
        <f>'Balance Sheet'!G32</f>
        <v/>
      </c>
      <c r="H69" s="4">
        <f>'Balance Sheet'!H32</f>
        <v/>
      </c>
      <c r="I69" s="4">
        <f>'Balance Sheet'!I32</f>
        <v/>
      </c>
      <c r="J69" s="4">
        <f>'Balance Sheet'!J32</f>
        <v/>
      </c>
      <c r="K69" s="4">
        <f>'Balance Sheet'!K32</f>
        <v/>
      </c>
      <c r="L69" s="24" t="inlineStr">
        <is>
          <t>Operating Working Capital Liability</t>
        </is>
      </c>
    </row>
    <row r="70">
      <c r="A70" t="inlineStr">
        <is>
          <t>Long-term debt</t>
        </is>
      </c>
      <c r="B70" s="4">
        <f>'Balance Sheet'!B36</f>
        <v/>
      </c>
      <c r="C70" s="4">
        <f>'Balance Sheet'!C36</f>
        <v/>
      </c>
      <c r="D70" s="4">
        <f>'Balance Sheet'!D36</f>
        <v/>
      </c>
      <c r="E70" s="4">
        <f>'Balance Sheet'!E36</f>
        <v/>
      </c>
      <c r="F70" s="4">
        <f>'Balance Sheet'!F36</f>
        <v/>
      </c>
      <c r="G70" s="4">
        <f>'Balance Sheet'!G36</f>
        <v/>
      </c>
      <c r="H70" s="4">
        <f>'Balance Sheet'!H36</f>
        <v/>
      </c>
      <c r="I70" s="4">
        <f>'Balance Sheet'!I36</f>
        <v/>
      </c>
      <c r="J70" s="4">
        <f>'Balance Sheet'!J36</f>
        <v/>
      </c>
      <c r="K70" s="4">
        <f>'Balance Sheet'!K36</f>
        <v/>
      </c>
      <c r="L70" s="24" t="inlineStr">
        <is>
          <t>Financial Liability</t>
        </is>
      </c>
    </row>
    <row r="71">
      <c r="A71" t="inlineStr">
        <is>
          <t>Deferred revenue, non-current</t>
        </is>
      </c>
      <c r="B71" s="4">
        <f>'Balance Sheet'!B37</f>
        <v/>
      </c>
      <c r="C71" s="4">
        <f>'Balance Sheet'!C37</f>
        <v/>
      </c>
      <c r="D71" s="4">
        <f>'Balance Sheet'!D37</f>
        <v/>
      </c>
      <c r="E71" s="4">
        <f>'Balance Sheet'!E37</f>
        <v/>
      </c>
      <c r="F71" s="4">
        <f>'Balance Sheet'!F37</f>
        <v/>
      </c>
      <c r="G71" s="4">
        <f>'Balance Sheet'!G37</f>
        <v/>
      </c>
      <c r="H71" s="4">
        <f>'Balance Sheet'!H37</f>
        <v/>
      </c>
      <c r="I71" s="4">
        <f>'Balance Sheet'!I37</f>
        <v/>
      </c>
      <c r="J71" s="4">
        <f>'Balance Sheet'!J37</f>
        <v/>
      </c>
      <c r="K71" s="4">
        <f>'Balance Sheet'!K37</f>
        <v/>
      </c>
      <c r="L71" s="24" t="inlineStr">
        <is>
          <t>Operating Long-Term Liability</t>
        </is>
      </c>
    </row>
    <row r="72">
      <c r="A72" t="inlineStr">
        <is>
          <t>Income taxes payable, non-current</t>
        </is>
      </c>
      <c r="B72" s="4">
        <f>'Balance Sheet'!B38</f>
        <v/>
      </c>
      <c r="C72" s="4">
        <f>'Balance Sheet'!C38</f>
        <v/>
      </c>
      <c r="D72" s="4">
        <f>'Balance Sheet'!D38</f>
        <v/>
      </c>
      <c r="E72" s="4">
        <f>'Balance Sheet'!E38</f>
        <v/>
      </c>
      <c r="F72" s="4">
        <f>'Balance Sheet'!F38</f>
        <v/>
      </c>
      <c r="G72" s="4">
        <f>'Balance Sheet'!G38</f>
        <v/>
      </c>
      <c r="H72" s="4">
        <f>'Balance Sheet'!H38</f>
        <v/>
      </c>
      <c r="I72" s="4">
        <f>'Balance Sheet'!I38</f>
        <v/>
      </c>
      <c r="J72" s="4">
        <f>'Balance Sheet'!J38</f>
        <v/>
      </c>
      <c r="K72" s="4">
        <f>'Balance Sheet'!K38</f>
        <v/>
      </c>
      <c r="L72" s="24" t="inlineStr">
        <is>
          <t>Operating Long-Term Liability</t>
        </is>
      </c>
      <c r="M72" s="11" t="inlineStr">
        <is>
          <t>⚠ judgment: operating vs financial</t>
        </is>
      </c>
    </row>
    <row r="73">
      <c r="A73" t="inlineStr">
        <is>
          <t>Deferred income taxes, non-current</t>
        </is>
      </c>
      <c r="B73" s="4">
        <f>'Balance Sheet'!B39</f>
        <v/>
      </c>
      <c r="C73" s="4">
        <f>'Balance Sheet'!C39</f>
        <v/>
      </c>
      <c r="D73" s="4">
        <f>'Balance Sheet'!D39</f>
        <v/>
      </c>
      <c r="E73" s="4">
        <f>'Balance Sheet'!E39</f>
        <v/>
      </c>
      <c r="F73" s="4">
        <f>'Balance Sheet'!F39</f>
        <v/>
      </c>
      <c r="G73" s="4">
        <f>'Balance Sheet'!G39</f>
        <v/>
      </c>
      <c r="H73" s="4">
        <f>'Balance Sheet'!H39</f>
        <v/>
      </c>
      <c r="I73" s="4">
        <f>'Balance Sheet'!I39</f>
        <v/>
      </c>
      <c r="J73" s="4">
        <f>'Balance Sheet'!J39</f>
        <v/>
      </c>
      <c r="K73" s="4">
        <f>'Balance Sheet'!K39</f>
        <v/>
      </c>
      <c r="L73" s="24" t="inlineStr">
        <is>
          <t>Operating Long-Term Liability</t>
        </is>
      </c>
      <c r="M73" s="11" t="inlineStr">
        <is>
          <t>⚠ judgment: operating vs exclude</t>
        </is>
      </c>
    </row>
    <row r="74">
      <c r="A74" t="inlineStr">
        <is>
          <t>Operating lease liabilities, non-current</t>
        </is>
      </c>
      <c r="B74" s="4">
        <f>'Balance Sheet'!B40</f>
        <v/>
      </c>
      <c r="C74" s="4">
        <f>'Balance Sheet'!C40</f>
        <v/>
      </c>
      <c r="D74" s="4">
        <f>'Balance Sheet'!D40</f>
        <v/>
      </c>
      <c r="E74" s="4">
        <f>'Balance Sheet'!E40</f>
        <v/>
      </c>
      <c r="F74" s="4">
        <f>'Balance Sheet'!F40</f>
        <v/>
      </c>
      <c r="G74" s="4">
        <f>'Balance Sheet'!G40</f>
        <v/>
      </c>
      <c r="H74" s="4">
        <f>'Balance Sheet'!H40</f>
        <v/>
      </c>
      <c r="I74" s="4">
        <f>'Balance Sheet'!I40</f>
        <v/>
      </c>
      <c r="J74" s="4">
        <f>'Balance Sheet'!J40</f>
        <v/>
      </c>
      <c r="K74" s="4">
        <f>'Balance Sheet'!K40</f>
        <v/>
      </c>
      <c r="L74" s="24" t="inlineStr">
        <is>
          <t>Financial Liability</t>
        </is>
      </c>
      <c r="M74" s="11" t="inlineStr">
        <is>
          <t>Convention: lease liabilities financial; lease ASSETS stay operating</t>
        </is>
      </c>
    </row>
    <row r="75">
      <c r="A75" t="inlineStr">
        <is>
          <t>Other long-term liabilities</t>
        </is>
      </c>
      <c r="B75" s="4">
        <f>'Balance Sheet'!B41</f>
        <v/>
      </c>
      <c r="C75" s="4">
        <f>'Balance Sheet'!C41</f>
        <v/>
      </c>
      <c r="D75" s="4">
        <f>'Balance Sheet'!D41</f>
        <v/>
      </c>
      <c r="E75" s="4">
        <f>'Balance Sheet'!E41</f>
        <v/>
      </c>
      <c r="F75" s="4">
        <f>'Balance Sheet'!F41</f>
        <v/>
      </c>
      <c r="G75" s="4">
        <f>'Balance Sheet'!G41</f>
        <v/>
      </c>
      <c r="H75" s="4">
        <f>'Balance Sheet'!H41</f>
        <v/>
      </c>
      <c r="I75" s="4">
        <f>'Balance Sheet'!I41</f>
        <v/>
      </c>
      <c r="J75" s="4">
        <f>'Balance Sheet'!J41</f>
        <v/>
      </c>
      <c r="K75" s="4">
        <f>'Balance Sheet'!K41</f>
        <v/>
      </c>
      <c r="L75" s="24" t="inlineStr">
        <is>
          <t>Operating Long-Term Liability</t>
        </is>
      </c>
    </row>
    <row r="76">
      <c r="A76" t="inlineStr">
        <is>
          <t>Class A/B/C stock and additional paid-in capital</t>
        </is>
      </c>
      <c r="B76" s="4">
        <f>'Balance Sheet'!B45</f>
        <v/>
      </c>
      <c r="C76" s="4">
        <f>'Balance Sheet'!C45</f>
        <v/>
      </c>
      <c r="D76" s="4">
        <f>'Balance Sheet'!D45</f>
        <v/>
      </c>
      <c r="E76" s="4">
        <f>'Balance Sheet'!E45</f>
        <v/>
      </c>
      <c r="F76" s="4">
        <f>'Balance Sheet'!F45</f>
        <v/>
      </c>
      <c r="G76" s="4">
        <f>'Balance Sheet'!G45</f>
        <v/>
      </c>
      <c r="H76" s="4">
        <f>'Balance Sheet'!H45</f>
        <v/>
      </c>
      <c r="I76" s="4">
        <f>'Balance Sheet'!I45</f>
        <v/>
      </c>
      <c r="J76" s="4">
        <f>'Balance Sheet'!J45</f>
        <v/>
      </c>
      <c r="K76" s="4">
        <f>'Balance Sheet'!K45</f>
        <v/>
      </c>
      <c r="L76" s="24" t="inlineStr">
        <is>
          <t>Equity</t>
        </is>
      </c>
    </row>
    <row r="77">
      <c r="A77" t="inlineStr">
        <is>
          <t>Accumulated other comprehensive income (loss)</t>
        </is>
      </c>
      <c r="B77" s="4">
        <f>'Balance Sheet'!B46</f>
        <v/>
      </c>
      <c r="C77" s="4">
        <f>'Balance Sheet'!C46</f>
        <v/>
      </c>
      <c r="D77" s="4">
        <f>'Balance Sheet'!D46</f>
        <v/>
      </c>
      <c r="E77" s="4">
        <f>'Balance Sheet'!E46</f>
        <v/>
      </c>
      <c r="F77" s="4">
        <f>'Balance Sheet'!F46</f>
        <v/>
      </c>
      <c r="G77" s="4">
        <f>'Balance Sheet'!G46</f>
        <v/>
      </c>
      <c r="H77" s="4">
        <f>'Balance Sheet'!H46</f>
        <v/>
      </c>
      <c r="I77" s="4">
        <f>'Balance Sheet'!I46</f>
        <v/>
      </c>
      <c r="J77" s="4">
        <f>'Balance Sheet'!J46</f>
        <v/>
      </c>
      <c r="K77" s="4">
        <f>'Balance Sheet'!K46</f>
        <v/>
      </c>
      <c r="L77" s="24" t="inlineStr">
        <is>
          <t>Equity</t>
        </is>
      </c>
    </row>
    <row r="78">
      <c r="A78" t="inlineStr">
        <is>
          <t>Retained earnings</t>
        </is>
      </c>
      <c r="B78" s="4">
        <f>'Balance Sheet'!B47</f>
        <v/>
      </c>
      <c r="C78" s="4">
        <f>'Balance Sheet'!C47</f>
        <v/>
      </c>
      <c r="D78" s="4">
        <f>'Balance Sheet'!D47</f>
        <v/>
      </c>
      <c r="E78" s="4">
        <f>'Balance Sheet'!E47</f>
        <v/>
      </c>
      <c r="F78" s="4">
        <f>'Balance Sheet'!F47</f>
        <v/>
      </c>
      <c r="G78" s="4">
        <f>'Balance Sheet'!G47</f>
        <v/>
      </c>
      <c r="H78" s="4">
        <f>'Balance Sheet'!H47</f>
        <v/>
      </c>
      <c r="I78" s="4">
        <f>'Balance Sheet'!I47</f>
        <v/>
      </c>
      <c r="J78" s="4">
        <f>'Balance Sheet'!J47</f>
        <v/>
      </c>
      <c r="K78" s="4">
        <f>'Balance Sheet'!K47</f>
        <v/>
      </c>
      <c r="L78" s="24" t="inlineStr">
        <is>
          <t>Equity</t>
        </is>
      </c>
    </row>
    <row r="79"/>
    <row r="80">
      <c r="A80" s="14" t="inlineStr">
        <is>
          <t>D. QUARTERLY CONDENSED (NOPAT + AGGREGATES)</t>
        </is>
      </c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</row>
    <row r="81">
      <c r="A81" s="11" t="inlineStr">
        <is>
          <t>Same classification as Section C: the Section E class cells reference the annual table — toggle Section C and these quarterly aggregates recompute. Flows are one quarter, not annualized.</t>
        </is>
      </c>
    </row>
    <row r="82"/>
    <row r="83">
      <c r="B83" s="45" t="inlineStr">
        <is>
          <t>Q1 2024</t>
        </is>
      </c>
      <c r="C83" s="45" t="inlineStr">
        <is>
          <t>Q2 2024</t>
        </is>
      </c>
      <c r="D83" s="45" t="inlineStr">
        <is>
          <t>Q3 2024</t>
        </is>
      </c>
      <c r="E83" s="45" t="inlineStr">
        <is>
          <t>Q4 2024</t>
        </is>
      </c>
      <c r="F83" s="45" t="inlineStr">
        <is>
          <t>Q1 2025</t>
        </is>
      </c>
      <c r="G83" s="45" t="inlineStr">
        <is>
          <t>Q2 2025</t>
        </is>
      </c>
      <c r="H83" s="45" t="inlineStr">
        <is>
          <t>Q3 2025</t>
        </is>
      </c>
      <c r="I83" s="45" t="inlineStr">
        <is>
          <t>Q4 2025</t>
        </is>
      </c>
      <c r="J83" s="45" t="inlineStr">
        <is>
          <t>Q1 2026</t>
        </is>
      </c>
    </row>
    <row r="84">
      <c r="A84" s="8" t="inlineStr">
        <is>
          <t>Line Item</t>
        </is>
      </c>
      <c r="B84" s="13">
        <f>'Income Statement'!B32</f>
        <v/>
      </c>
      <c r="C84" s="13">
        <f>'Income Statement'!C32</f>
        <v/>
      </c>
      <c r="D84" s="13">
        <f>'Income Statement'!D32</f>
        <v/>
      </c>
      <c r="E84" s="13">
        <f>'Income Statement'!E32</f>
        <v/>
      </c>
      <c r="F84" s="13">
        <f>'Income Statement'!F32</f>
        <v/>
      </c>
      <c r="G84" s="13">
        <f>'Income Statement'!G32</f>
        <v/>
      </c>
      <c r="H84" s="13">
        <f>'Income Statement'!H32</f>
        <v/>
      </c>
      <c r="I84" s="13">
        <f>'Income Statement'!I32</f>
        <v/>
      </c>
      <c r="J84" s="13">
        <f>'Income Statement'!J32</f>
        <v/>
      </c>
    </row>
    <row r="85">
      <c r="A85" t="inlineStr">
        <is>
          <t>Net Income</t>
        </is>
      </c>
      <c r="B85" s="4">
        <f>'Income Statement'!B46</f>
        <v/>
      </c>
      <c r="C85" s="4">
        <f>'Income Statement'!C46</f>
        <v/>
      </c>
      <c r="D85" s="4">
        <f>'Income Statement'!D46</f>
        <v/>
      </c>
      <c r="E85" s="4">
        <f>'Income Statement'!E46</f>
        <v/>
      </c>
      <c r="F85" s="4">
        <f>'Income Statement'!F46</f>
        <v/>
      </c>
      <c r="G85" s="4">
        <f>'Income Statement'!G46</f>
        <v/>
      </c>
      <c r="H85" s="4">
        <f>'Income Statement'!H46</f>
        <v/>
      </c>
      <c r="I85" s="4">
        <f>'Income Statement'!I46</f>
        <v/>
      </c>
      <c r="J85" s="4">
        <f>'Income Statement'!J46</f>
        <v/>
      </c>
    </row>
    <row r="86">
      <c r="A86" t="inlineStr">
        <is>
          <t>Other Income (Expense), Net</t>
        </is>
      </c>
      <c r="B86" s="4">
        <f>'Income Statement'!B43</f>
        <v/>
      </c>
      <c r="C86" s="4">
        <f>'Income Statement'!C43</f>
        <v/>
      </c>
      <c r="D86" s="4">
        <f>'Income Statement'!D43</f>
        <v/>
      </c>
      <c r="E86" s="4">
        <f>'Income Statement'!E43</f>
        <v/>
      </c>
      <c r="F86" s="4">
        <f>'Income Statement'!F43</f>
        <v/>
      </c>
      <c r="G86" s="4">
        <f>'Income Statement'!G43</f>
        <v/>
      </c>
      <c r="H86" s="4">
        <f>'Income Statement'!H43</f>
        <v/>
      </c>
      <c r="I86" s="4">
        <f>'Income Statement'!I43</f>
        <v/>
      </c>
      <c r="J86" s="4">
        <f>'Income Statement'!J43</f>
        <v/>
      </c>
    </row>
    <row r="87">
      <c r="A87" t="inlineStr">
        <is>
          <t>Interest Expense (XBRL-disclosed)</t>
        </is>
      </c>
      <c r="B87" s="16" t="n">
        <v>94</v>
      </c>
      <c r="C87" s="16" t="n">
        <v>67</v>
      </c>
      <c r="D87" s="16" t="n">
        <v>54</v>
      </c>
      <c r="E87" s="16" t="n">
        <v>53</v>
      </c>
      <c r="F87" s="16" t="n">
        <v>34</v>
      </c>
      <c r="G87" s="16" t="n">
        <v>261</v>
      </c>
      <c r="H87" s="16" t="n">
        <v>143</v>
      </c>
      <c r="I87" s="16" t="n">
        <v>298</v>
      </c>
      <c r="J87" s="16" t="n">
        <v>533</v>
      </c>
    </row>
    <row r="88">
      <c r="A88" t="inlineStr">
        <is>
          <t>Interest Income (XBRL-disclosed)</t>
        </is>
      </c>
      <c r="B88" s="16" t="n">
        <v>1061</v>
      </c>
      <c r="C88" s="16" t="n">
        <v>1090</v>
      </c>
      <c r="D88" s="16" t="n">
        <v>1243</v>
      </c>
      <c r="E88" s="16" t="n">
        <v>1088</v>
      </c>
      <c r="F88" s="16" t="n">
        <v>1001</v>
      </c>
      <c r="G88" s="16" t="n">
        <v>1050</v>
      </c>
      <c r="H88" s="16" t="n">
        <v>1076</v>
      </c>
      <c r="I88" s="16" t="n">
        <v>1210</v>
      </c>
      <c r="J88" s="16" t="n">
        <v>1381</v>
      </c>
    </row>
    <row r="89">
      <c r="A89" t="inlineStr">
        <is>
          <t>Net Interest Expense (Income)</t>
        </is>
      </c>
      <c r="B89" s="4">
        <f>B87-B88</f>
        <v/>
      </c>
      <c r="C89" s="4">
        <f>C87-C88</f>
        <v/>
      </c>
      <c r="D89" s="4">
        <f>D87-D88</f>
        <v/>
      </c>
      <c r="E89" s="4">
        <f>E87-E88</f>
        <v/>
      </c>
      <c r="F89" s="4">
        <f>F87-F88</f>
        <v/>
      </c>
      <c r="G89" s="4">
        <f>G87-G88</f>
        <v/>
      </c>
      <c r="H89" s="4">
        <f>H87-H88</f>
        <v/>
      </c>
      <c r="I89" s="4">
        <f>I87-I88</f>
        <v/>
      </c>
      <c r="J89" s="4">
        <f>J87-J88</f>
        <v/>
      </c>
    </row>
    <row r="90">
      <c r="A90" t="inlineStr">
        <is>
          <t>Pretax Income</t>
        </is>
      </c>
      <c r="B90" s="4">
        <f>'Income Statement'!B44</f>
        <v/>
      </c>
      <c r="C90" s="4">
        <f>'Income Statement'!C44</f>
        <v/>
      </c>
      <c r="D90" s="4">
        <f>'Income Statement'!D44</f>
        <v/>
      </c>
      <c r="E90" s="4">
        <f>'Income Statement'!E44</f>
        <v/>
      </c>
      <c r="F90" s="4">
        <f>'Income Statement'!F44</f>
        <v/>
      </c>
      <c r="G90" s="4">
        <f>'Income Statement'!G44</f>
        <v/>
      </c>
      <c r="H90" s="4">
        <f>'Income Statement'!H44</f>
        <v/>
      </c>
      <c r="I90" s="4">
        <f>'Income Statement'!I44</f>
        <v/>
      </c>
      <c r="J90" s="4">
        <f>'Income Statement'!J44</f>
        <v/>
      </c>
    </row>
    <row r="91">
      <c r="A91" t="inlineStr">
        <is>
          <t>Tax Expense</t>
        </is>
      </c>
      <c r="B91" s="4">
        <f>ABS('Income Statement'!B45)</f>
        <v/>
      </c>
      <c r="C91" s="4">
        <f>ABS('Income Statement'!C45)</f>
        <v/>
      </c>
      <c r="D91" s="4">
        <f>ABS('Income Statement'!D45)</f>
        <v/>
      </c>
      <c r="E91" s="4">
        <f>ABS('Income Statement'!E45)</f>
        <v/>
      </c>
      <c r="F91" s="4">
        <f>ABS('Income Statement'!F45)</f>
        <v/>
      </c>
      <c r="G91" s="4">
        <f>ABS('Income Statement'!G45)</f>
        <v/>
      </c>
      <c r="H91" s="4">
        <f>ABS('Income Statement'!H45)</f>
        <v/>
      </c>
      <c r="I91" s="4">
        <f>ABS('Income Statement'!I45)</f>
        <v/>
      </c>
      <c r="J91" s="4">
        <f>ABS('Income Statement'!J45)</f>
        <v/>
      </c>
    </row>
    <row r="92">
      <c r="A92" t="inlineStr">
        <is>
          <t>Effective Tax Rate</t>
        </is>
      </c>
      <c r="B92" s="1">
        <f>IFERROR(B91/B90,0)</f>
        <v/>
      </c>
      <c r="C92" s="1">
        <f>IFERROR(C91/C90,0)</f>
        <v/>
      </c>
      <c r="D92" s="1">
        <f>IFERROR(D91/D90,0)</f>
        <v/>
      </c>
      <c r="E92" s="1">
        <f>IFERROR(E91/E90,0)</f>
        <v/>
      </c>
      <c r="F92" s="1">
        <f>IFERROR(F91/F90,0)</f>
        <v/>
      </c>
      <c r="G92" s="1">
        <f>IFERROR(G91/G90,0)</f>
        <v/>
      </c>
      <c r="H92" s="1">
        <f>IFERROR(H91/H90,0)</f>
        <v/>
      </c>
      <c r="I92" s="1">
        <f>IFERROR(I91/I90,0)</f>
        <v/>
      </c>
      <c r="J92" s="1">
        <f>IFERROR(J91/J90,0)</f>
        <v/>
      </c>
      <c r="M92" s="11" t="inlineStr">
        <is>
          <t>Quarterly ETRs are noisy (discrete items); the NIAT shield uses the quarter's own rate</t>
        </is>
      </c>
    </row>
    <row r="93">
      <c r="A93" t="inlineStr">
        <is>
          <t>Net Interest After Tax</t>
        </is>
      </c>
      <c r="B93" s="4">
        <f>B89*(1-B92)</f>
        <v/>
      </c>
      <c r="C93" s="4">
        <f>C89*(1-C92)</f>
        <v/>
      </c>
      <c r="D93" s="4">
        <f>D89*(1-D92)</f>
        <v/>
      </c>
      <c r="E93" s="4">
        <f>E89*(1-E92)</f>
        <v/>
      </c>
      <c r="F93" s="4">
        <f>F89*(1-F92)</f>
        <v/>
      </c>
      <c r="G93" s="4">
        <f>G89*(1-G92)</f>
        <v/>
      </c>
      <c r="H93" s="4">
        <f>H89*(1-H92)</f>
        <v/>
      </c>
      <c r="I93" s="4">
        <f>I89*(1-I92)</f>
        <v/>
      </c>
      <c r="J93" s="4">
        <f>J89*(1-J92)</f>
        <v/>
      </c>
    </row>
    <row r="94">
      <c r="A94" s="17" t="inlineStr">
        <is>
          <t>NOPAT</t>
        </is>
      </c>
      <c r="B94" s="18">
        <f>B85+B93</f>
        <v/>
      </c>
      <c r="C94" s="18">
        <f>C85+C93</f>
        <v/>
      </c>
      <c r="D94" s="18">
        <f>D85+D93</f>
        <v/>
      </c>
      <c r="E94" s="18">
        <f>E85+E93</f>
        <v/>
      </c>
      <c r="F94" s="18">
        <f>F85+F93</f>
        <v/>
      </c>
      <c r="G94" s="18">
        <f>G85+G93</f>
        <v/>
      </c>
      <c r="H94" s="18">
        <f>H85+H93</f>
        <v/>
      </c>
      <c r="I94" s="18">
        <f>I85+I93</f>
        <v/>
      </c>
      <c r="J94" s="18">
        <f>J85+J93</f>
        <v/>
      </c>
    </row>
    <row r="95">
      <c r="A95" s="11" t="inlineStr">
        <is>
          <t>Quarterly interest rows are XBRL-DISCLOSED facts (us-gaap_InterestExpenseNonoperating / us-gaap_InterestIncomeOther; Q4 = FY fact - SUM Q1-Q3) and diverge from the annual rows 10-11 estimates (FY2024 XBRL 268/4,482 vs est. 365/4,963; FY2025 736/4,337 vs est. 1,200/4,801) - different bases, both shown.</t>
        </is>
      </c>
    </row>
    <row r="96"/>
    <row r="97">
      <c r="A97" s="8" t="inlineStr">
        <is>
          <t>Operating Working Capital Assets</t>
        </is>
      </c>
      <c r="B97" s="10">
        <f>SUMIF($L$115:$L$142,"Operating Working Capital Asset",B$115:B$142)</f>
        <v/>
      </c>
      <c r="C97" s="10">
        <f>SUMIF($L$115:$L$142,"Operating Working Capital Asset",C$115:C$142)</f>
        <v/>
      </c>
      <c r="D97" s="10">
        <f>SUMIF($L$115:$L$142,"Operating Working Capital Asset",D$115:D$142)</f>
        <v/>
      </c>
      <c r="E97" s="10">
        <f>SUMIF($L$115:$L$142,"Operating Working Capital Asset",E$115:E$142)</f>
        <v/>
      </c>
      <c r="F97" s="10">
        <f>SUMIF($L$115:$L$142,"Operating Working Capital Asset",F$115:F$142)</f>
        <v/>
      </c>
      <c r="G97" s="10">
        <f>SUMIF($L$115:$L$142,"Operating Working Capital Asset",G$115:G$142)</f>
        <v/>
      </c>
      <c r="H97" s="10">
        <f>SUMIF($L$115:$L$142,"Operating Working Capital Asset",H$115:H$142)</f>
        <v/>
      </c>
      <c r="I97" s="10">
        <f>SUMIF($L$115:$L$142,"Operating Working Capital Asset",I$115:I$142)</f>
        <v/>
      </c>
      <c r="J97" s="10">
        <f>SUMIF($L$115:$L$142,"Operating Working Capital Asset",J$115:J$142)</f>
        <v/>
      </c>
    </row>
    <row r="98">
      <c r="A98" s="8" t="inlineStr">
        <is>
          <t>Operating Working Capital Liabilities</t>
        </is>
      </c>
      <c r="B98" s="10">
        <f>SUMIF($L$115:$L$142,"Operating Working Capital Liability",B$115:B$142)</f>
        <v/>
      </c>
      <c r="C98" s="10">
        <f>SUMIF($L$115:$L$142,"Operating Working Capital Liability",C$115:C$142)</f>
        <v/>
      </c>
      <c r="D98" s="10">
        <f>SUMIF($L$115:$L$142,"Operating Working Capital Liability",D$115:D$142)</f>
        <v/>
      </c>
      <c r="E98" s="10">
        <f>SUMIF($L$115:$L$142,"Operating Working Capital Liability",E$115:E$142)</f>
        <v/>
      </c>
      <c r="F98" s="10">
        <f>SUMIF($L$115:$L$142,"Operating Working Capital Liability",F$115:F$142)</f>
        <v/>
      </c>
      <c r="G98" s="10">
        <f>SUMIF($L$115:$L$142,"Operating Working Capital Liability",G$115:G$142)</f>
        <v/>
      </c>
      <c r="H98" s="10">
        <f>SUMIF($L$115:$L$142,"Operating Working Capital Liability",H$115:H$142)</f>
        <v/>
      </c>
      <c r="I98" s="10">
        <f>SUMIF($L$115:$L$142,"Operating Working Capital Liability",I$115:I$142)</f>
        <v/>
      </c>
      <c r="J98" s="10">
        <f>SUMIF($L$115:$L$142,"Operating Working Capital Liability",J$115:J$142)</f>
        <v/>
      </c>
    </row>
    <row r="99">
      <c r="A99" s="17" t="inlineStr">
        <is>
          <t>NET OPERATING WORKING CAPITAL (NOWC)</t>
        </is>
      </c>
      <c r="B99" s="18">
        <f>B97-B98</f>
        <v/>
      </c>
      <c r="C99" s="18">
        <f>C97-C98</f>
        <v/>
      </c>
      <c r="D99" s="18">
        <f>D97-D98</f>
        <v/>
      </c>
      <c r="E99" s="18">
        <f>E97-E98</f>
        <v/>
      </c>
      <c r="F99" s="18">
        <f>F97-F98</f>
        <v/>
      </c>
      <c r="G99" s="18">
        <f>G97-G98</f>
        <v/>
      </c>
      <c r="H99" s="18">
        <f>H97-H98</f>
        <v/>
      </c>
      <c r="I99" s="18">
        <f>I97-I98</f>
        <v/>
      </c>
      <c r="J99" s="18">
        <f>J97-J98</f>
        <v/>
      </c>
    </row>
    <row r="100">
      <c r="A100" s="8" t="inlineStr">
        <is>
          <t>Operating Long-Term Assets</t>
        </is>
      </c>
      <c r="B100" s="10">
        <f>SUMIF($L$115:$L$142,"Operating Long-Term Asset",B$115:B$142)</f>
        <v/>
      </c>
      <c r="C100" s="10">
        <f>SUMIF($L$115:$L$142,"Operating Long-Term Asset",C$115:C$142)</f>
        <v/>
      </c>
      <c r="D100" s="10">
        <f>SUMIF($L$115:$L$142,"Operating Long-Term Asset",D$115:D$142)</f>
        <v/>
      </c>
      <c r="E100" s="10">
        <f>SUMIF($L$115:$L$142,"Operating Long-Term Asset",E$115:E$142)</f>
        <v/>
      </c>
      <c r="F100" s="10">
        <f>SUMIF($L$115:$L$142,"Operating Long-Term Asset",F$115:F$142)</f>
        <v/>
      </c>
      <c r="G100" s="10">
        <f>SUMIF($L$115:$L$142,"Operating Long-Term Asset",G$115:G$142)</f>
        <v/>
      </c>
      <c r="H100" s="10">
        <f>SUMIF($L$115:$L$142,"Operating Long-Term Asset",H$115:H$142)</f>
        <v/>
      </c>
      <c r="I100" s="10">
        <f>SUMIF($L$115:$L$142,"Operating Long-Term Asset",I$115:I$142)</f>
        <v/>
      </c>
      <c r="J100" s="10">
        <f>SUMIF($L$115:$L$142,"Operating Long-Term Asset",J$115:J$142)</f>
        <v/>
      </c>
    </row>
    <row r="101">
      <c r="A101" s="8" t="inlineStr">
        <is>
          <t>Operating Long-Term Liabilities</t>
        </is>
      </c>
      <c r="B101" s="10">
        <f>SUMIF($L$115:$L$142,"Operating Long-Term Liability",B$115:B$142)</f>
        <v/>
      </c>
      <c r="C101" s="10">
        <f>SUMIF($L$115:$L$142,"Operating Long-Term Liability",C$115:C$142)</f>
        <v/>
      </c>
      <c r="D101" s="10">
        <f>SUMIF($L$115:$L$142,"Operating Long-Term Liability",D$115:D$142)</f>
        <v/>
      </c>
      <c r="E101" s="10">
        <f>SUMIF($L$115:$L$142,"Operating Long-Term Liability",E$115:E$142)</f>
        <v/>
      </c>
      <c r="F101" s="10">
        <f>SUMIF($L$115:$L$142,"Operating Long-Term Liability",F$115:F$142)</f>
        <v/>
      </c>
      <c r="G101" s="10">
        <f>SUMIF($L$115:$L$142,"Operating Long-Term Liability",G$115:G$142)</f>
        <v/>
      </c>
      <c r="H101" s="10">
        <f>SUMIF($L$115:$L$142,"Operating Long-Term Liability",H$115:H$142)</f>
        <v/>
      </c>
      <c r="I101" s="10">
        <f>SUMIF($L$115:$L$142,"Operating Long-Term Liability",I$115:I$142)</f>
        <v/>
      </c>
      <c r="J101" s="10">
        <f>SUMIF($L$115:$L$142,"Operating Long-Term Liability",J$115:J$142)</f>
        <v/>
      </c>
    </row>
    <row r="102">
      <c r="A102" s="17" t="inlineStr">
        <is>
          <t>NET OPERATING LT ASSETS</t>
        </is>
      </c>
      <c r="B102" s="18">
        <f>B100-B101</f>
        <v/>
      </c>
      <c r="C102" s="18">
        <f>C100-C101</f>
        <v/>
      </c>
      <c r="D102" s="18">
        <f>D100-D101</f>
        <v/>
      </c>
      <c r="E102" s="18">
        <f>E100-E101</f>
        <v/>
      </c>
      <c r="F102" s="18">
        <f>F100-F101</f>
        <v/>
      </c>
      <c r="G102" s="18">
        <f>G100-G101</f>
        <v/>
      </c>
      <c r="H102" s="18">
        <f>H100-H101</f>
        <v/>
      </c>
      <c r="I102" s="18">
        <f>I100-I101</f>
        <v/>
      </c>
      <c r="J102" s="18">
        <f>J100-J101</f>
        <v/>
      </c>
    </row>
    <row r="103">
      <c r="A103" s="19" t="inlineStr">
        <is>
          <t>NET OPERATING ASSETS (NOA)</t>
        </is>
      </c>
      <c r="B103" s="20">
        <f>B99+B102</f>
        <v/>
      </c>
      <c r="C103" s="20">
        <f>C99+C102</f>
        <v/>
      </c>
      <c r="D103" s="20">
        <f>D99+D102</f>
        <v/>
      </c>
      <c r="E103" s="20">
        <f>E99+E102</f>
        <v/>
      </c>
      <c r="F103" s="20">
        <f>F99+F102</f>
        <v/>
      </c>
      <c r="G103" s="20">
        <f>G99+G102</f>
        <v/>
      </c>
      <c r="H103" s="20">
        <f>H99+H102</f>
        <v/>
      </c>
      <c r="I103" s="20">
        <f>I99+I102</f>
        <v/>
      </c>
      <c r="J103" s="20">
        <f>J99+J102</f>
        <v/>
      </c>
    </row>
    <row r="104">
      <c r="A104" s="8" t="inlineStr">
        <is>
          <t>Financial Assets</t>
        </is>
      </c>
      <c r="B104" s="10">
        <f>SUMIF($L$115:$L$142,"Financial Asset",B$115:B$142)</f>
        <v/>
      </c>
      <c r="C104" s="10">
        <f>SUMIF($L$115:$L$142,"Financial Asset",C$115:C$142)</f>
        <v/>
      </c>
      <c r="D104" s="10">
        <f>SUMIF($L$115:$L$142,"Financial Asset",D$115:D$142)</f>
        <v/>
      </c>
      <c r="E104" s="10">
        <f>SUMIF($L$115:$L$142,"Financial Asset",E$115:E$142)</f>
        <v/>
      </c>
      <c r="F104" s="10">
        <f>SUMIF($L$115:$L$142,"Financial Asset",F$115:F$142)</f>
        <v/>
      </c>
      <c r="G104" s="10">
        <f>SUMIF($L$115:$L$142,"Financial Asset",G$115:G$142)</f>
        <v/>
      </c>
      <c r="H104" s="10">
        <f>SUMIF($L$115:$L$142,"Financial Asset",H$115:H$142)</f>
        <v/>
      </c>
      <c r="I104" s="10">
        <f>SUMIF($L$115:$L$142,"Financial Asset",I$115:I$142)</f>
        <v/>
      </c>
      <c r="J104" s="10">
        <f>SUMIF($L$115:$L$142,"Financial Asset",J$115:J$142)</f>
        <v/>
      </c>
    </row>
    <row r="105">
      <c r="A105" s="8" t="inlineStr">
        <is>
          <t>Financial Liabilities</t>
        </is>
      </c>
      <c r="B105" s="10">
        <f>SUMIF($L$115:$L$142,"Financial Liability",B$115:B$142)</f>
        <v/>
      </c>
      <c r="C105" s="10">
        <f>SUMIF($L$115:$L$142,"Financial Liability",C$115:C$142)</f>
        <v/>
      </c>
      <c r="D105" s="10">
        <f>SUMIF($L$115:$L$142,"Financial Liability",D$115:D$142)</f>
        <v/>
      </c>
      <c r="E105" s="10">
        <f>SUMIF($L$115:$L$142,"Financial Liability",E$115:E$142)</f>
        <v/>
      </c>
      <c r="F105" s="10">
        <f>SUMIF($L$115:$L$142,"Financial Liability",F$115:F$142)</f>
        <v/>
      </c>
      <c r="G105" s="10">
        <f>SUMIF($L$115:$L$142,"Financial Liability",G$115:G$142)</f>
        <v/>
      </c>
      <c r="H105" s="10">
        <f>SUMIF($L$115:$L$142,"Financial Liability",H$115:H$142)</f>
        <v/>
      </c>
      <c r="I105" s="10">
        <f>SUMIF($L$115:$L$142,"Financial Liability",I$115:I$142)</f>
        <v/>
      </c>
      <c r="J105" s="10">
        <f>SUMIF($L$115:$L$142,"Financial Liability",J$115:J$142)</f>
        <v/>
      </c>
    </row>
    <row r="106">
      <c r="A106" s="19" t="inlineStr">
        <is>
          <t>NET DEBT (Fin Liab - Fin Assets)</t>
        </is>
      </c>
      <c r="B106" s="20">
        <f>B105-B104</f>
        <v/>
      </c>
      <c r="C106" s="20">
        <f>C105-C104</f>
        <v/>
      </c>
      <c r="D106" s="20">
        <f>D105-D104</f>
        <v/>
      </c>
      <c r="E106" s="20">
        <f>E105-E104</f>
        <v/>
      </c>
      <c r="F106" s="20">
        <f>F105-F104</f>
        <v/>
      </c>
      <c r="G106" s="20">
        <f>G105-G104</f>
        <v/>
      </c>
      <c r="H106" s="20">
        <f>H105-H104</f>
        <v/>
      </c>
      <c r="I106" s="20">
        <f>I105-I104</f>
        <v/>
      </c>
      <c r="J106" s="20">
        <f>J105-J104</f>
        <v/>
      </c>
    </row>
    <row r="107">
      <c r="A107" s="19" t="inlineStr">
        <is>
          <t>EQUITY (NOA - Net Debt)</t>
        </is>
      </c>
      <c r="B107" s="20">
        <f>B103-B106</f>
        <v/>
      </c>
      <c r="C107" s="20">
        <f>C103-C106</f>
        <v/>
      </c>
      <c r="D107" s="20">
        <f>D103-D106</f>
        <v/>
      </c>
      <c r="E107" s="20">
        <f>E103-E106</f>
        <v/>
      </c>
      <c r="F107" s="20">
        <f>F103-F106</f>
        <v/>
      </c>
      <c r="G107" s="20">
        <f>G103-G106</f>
        <v/>
      </c>
      <c r="H107" s="20">
        <f>H103-H106</f>
        <v/>
      </c>
      <c r="I107" s="20">
        <f>I103-I106</f>
        <v/>
      </c>
      <c r="J107" s="20">
        <f>J103-J106</f>
        <v/>
      </c>
    </row>
    <row r="108">
      <c r="A108" s="8" t="inlineStr">
        <is>
          <t>Reported Equity</t>
        </is>
      </c>
      <c r="B108" s="10">
        <f>'Balance Sheet'!B99</f>
        <v/>
      </c>
      <c r="C108" s="10">
        <f>'Balance Sheet'!C99</f>
        <v/>
      </c>
      <c r="D108" s="10">
        <f>'Balance Sheet'!D99</f>
        <v/>
      </c>
      <c r="E108" s="10">
        <f>'Balance Sheet'!E99</f>
        <v/>
      </c>
      <c r="F108" s="10">
        <f>'Balance Sheet'!F99</f>
        <v/>
      </c>
      <c r="G108" s="10">
        <f>'Balance Sheet'!G99</f>
        <v/>
      </c>
      <c r="H108" s="10">
        <f>'Balance Sheet'!H99</f>
        <v/>
      </c>
      <c r="I108" s="10">
        <f>'Balance Sheet'!I99</f>
        <v/>
      </c>
      <c r="J108" s="10">
        <f>'Balance Sheet'!J99</f>
        <v/>
      </c>
    </row>
    <row r="109">
      <c r="A109" s="8" t="inlineStr">
        <is>
          <t>TOTAL CAPITAL (Net Debt + Equity)</t>
        </is>
      </c>
      <c r="B109" s="10">
        <f>B106+B107</f>
        <v/>
      </c>
      <c r="C109" s="10">
        <f>C106+C107</f>
        <v/>
      </c>
      <c r="D109" s="10">
        <f>D106+D107</f>
        <v/>
      </c>
      <c r="E109" s="10">
        <f>E106+E107</f>
        <v/>
      </c>
      <c r="F109" s="10">
        <f>F106+F107</f>
        <v/>
      </c>
      <c r="G109" s="10">
        <f>G106+G107</f>
        <v/>
      </c>
      <c r="H109" s="10">
        <f>H106+H107</f>
        <v/>
      </c>
      <c r="I109" s="10">
        <f>I106+I107</f>
        <v/>
      </c>
      <c r="J109" s="10">
        <f>J106+J107</f>
        <v/>
      </c>
    </row>
    <row r="110">
      <c r="A110" s="22" t="inlineStr">
        <is>
          <t>CHECK: implied equity = reported equity</t>
        </is>
      </c>
      <c r="B110" s="47">
        <f>IF(ABS(B107-B108)&lt;1,"OK","CHECK")</f>
        <v/>
      </c>
      <c r="C110" s="47">
        <f>IF(ABS(C107-C108)&lt;1,"OK","CHECK")</f>
        <v/>
      </c>
      <c r="D110" s="47">
        <f>IF(ABS(D107-D108)&lt;1,"OK","CHECK")</f>
        <v/>
      </c>
      <c r="E110" s="47">
        <f>IF(ABS(E107-E108)&lt;1,"OK","CHECK")</f>
        <v/>
      </c>
      <c r="F110" s="47">
        <f>IF(ABS(F107-F108)&lt;1,"OK","CHECK")</f>
        <v/>
      </c>
      <c r="G110" s="47">
        <f>IF(ABS(G107-G108)&lt;1,"OK","CHECK")</f>
        <v/>
      </c>
      <c r="H110" s="47">
        <f>IF(ABS(H107-H108)&lt;1,"OK","CHECK")</f>
        <v/>
      </c>
      <c r="I110" s="47">
        <f>IF(ABS(I107-I108)&lt;1,"OK","CHECK")</f>
        <v/>
      </c>
      <c r="J110" s="47">
        <f>IF(ABS(J107-J108)&lt;1,"OK","CHECK")</f>
        <v/>
      </c>
    </row>
    <row r="111"/>
    <row r="112">
      <c r="A112" s="14" t="inlineStr">
        <is>
          <t>E. QUARTERLY BS CLASSIFICATION (class cells reference Section C — toggle there)</t>
        </is>
      </c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</row>
    <row r="113">
      <c r="B113" s="45" t="inlineStr">
        <is>
          <t>Q1 2024</t>
        </is>
      </c>
      <c r="C113" s="45" t="inlineStr">
        <is>
          <t>Q2 2024</t>
        </is>
      </c>
      <c r="D113" s="45" t="inlineStr">
        <is>
          <t>Q3 2024</t>
        </is>
      </c>
      <c r="E113" s="45" t="inlineStr">
        <is>
          <t>Q4 2024</t>
        </is>
      </c>
      <c r="F113" s="45" t="inlineStr">
        <is>
          <t>Q1 2025</t>
        </is>
      </c>
      <c r="G113" s="45" t="inlineStr">
        <is>
          <t>Q2 2025</t>
        </is>
      </c>
      <c r="H113" s="45" t="inlineStr">
        <is>
          <t>Q3 2025</t>
        </is>
      </c>
      <c r="I113" s="45" t="inlineStr">
        <is>
          <t>Q4 2025</t>
        </is>
      </c>
      <c r="J113" s="45" t="inlineStr">
        <is>
          <t>Q1 2026</t>
        </is>
      </c>
    </row>
    <row r="114">
      <c r="A114" s="8" t="inlineStr">
        <is>
          <t>Line Item</t>
        </is>
      </c>
      <c r="B114" s="9" t="n">
        <v>45382</v>
      </c>
      <c r="C114" s="9" t="n">
        <v>45473</v>
      </c>
      <c r="D114" s="9" t="n">
        <v>45565</v>
      </c>
      <c r="E114" s="9" t="n">
        <v>45657</v>
      </c>
      <c r="F114" s="9" t="n">
        <v>45747</v>
      </c>
      <c r="G114" s="9" t="n">
        <v>45838</v>
      </c>
      <c r="H114" s="9" t="n">
        <v>45930</v>
      </c>
      <c r="I114" s="9" t="n">
        <v>46022</v>
      </c>
      <c r="J114" s="9" t="n">
        <v>46112</v>
      </c>
      <c r="L114" s="8" t="inlineStr">
        <is>
          <t>Class (=Section C)</t>
        </is>
      </c>
    </row>
    <row r="115">
      <c r="A115" t="inlineStr">
        <is>
          <t>Cash and cash equivalents</t>
        </is>
      </c>
      <c r="B115" s="4">
        <f>'Balance Sheet'!B59</f>
        <v/>
      </c>
      <c r="C115" s="4">
        <f>'Balance Sheet'!C59</f>
        <v/>
      </c>
      <c r="D115" s="4">
        <f>'Balance Sheet'!D59</f>
        <v/>
      </c>
      <c r="E115" s="4">
        <f>'Balance Sheet'!E59</f>
        <v/>
      </c>
      <c r="F115" s="4">
        <f>'Balance Sheet'!F59</f>
        <v/>
      </c>
      <c r="G115" s="4">
        <f>'Balance Sheet'!G59</f>
        <v/>
      </c>
      <c r="H115" s="4">
        <f>'Balance Sheet'!H59</f>
        <v/>
      </c>
      <c r="I115" s="4">
        <f>'Balance Sheet'!I59</f>
        <v/>
      </c>
      <c r="J115" s="4">
        <f>'Balance Sheet'!J59</f>
        <v/>
      </c>
      <c r="L115" s="48">
        <f>$L$51</f>
        <v/>
      </c>
    </row>
    <row r="116">
      <c r="A116" t="inlineStr">
        <is>
          <t>Marketable securities</t>
        </is>
      </c>
      <c r="B116" s="4">
        <f>'Balance Sheet'!B60</f>
        <v/>
      </c>
      <c r="C116" s="4">
        <f>'Balance Sheet'!C60</f>
        <v/>
      </c>
      <c r="D116" s="4">
        <f>'Balance Sheet'!D60</f>
        <v/>
      </c>
      <c r="E116" s="4">
        <f>'Balance Sheet'!E60</f>
        <v/>
      </c>
      <c r="F116" s="4">
        <f>'Balance Sheet'!F60</f>
        <v/>
      </c>
      <c r="G116" s="4">
        <f>'Balance Sheet'!G60</f>
        <v/>
      </c>
      <c r="H116" s="4">
        <f>'Balance Sheet'!H60</f>
        <v/>
      </c>
      <c r="I116" s="4">
        <f>'Balance Sheet'!I60</f>
        <v/>
      </c>
      <c r="J116" s="4">
        <f>'Balance Sheet'!J60</f>
        <v/>
      </c>
      <c r="L116" s="48">
        <f>$L$52</f>
        <v/>
      </c>
    </row>
    <row r="117">
      <c r="A117" t="inlineStr">
        <is>
          <t>Accounts receivable, net</t>
        </is>
      </c>
      <c r="B117" s="4">
        <f>'Balance Sheet'!B61</f>
        <v/>
      </c>
      <c r="C117" s="4">
        <f>'Balance Sheet'!C61</f>
        <v/>
      </c>
      <c r="D117" s="4">
        <f>'Balance Sheet'!D61</f>
        <v/>
      </c>
      <c r="E117" s="4">
        <f>'Balance Sheet'!E61</f>
        <v/>
      </c>
      <c r="F117" s="4">
        <f>'Balance Sheet'!F61</f>
        <v/>
      </c>
      <c r="G117" s="4">
        <f>'Balance Sheet'!G61</f>
        <v/>
      </c>
      <c r="H117" s="4">
        <f>'Balance Sheet'!H61</f>
        <v/>
      </c>
      <c r="I117" s="4">
        <f>'Balance Sheet'!I61</f>
        <v/>
      </c>
      <c r="J117" s="4">
        <f>'Balance Sheet'!J61</f>
        <v/>
      </c>
      <c r="L117" s="48">
        <f>$L$53</f>
        <v/>
      </c>
    </row>
    <row r="118">
      <c r="A118" t="inlineStr">
        <is>
          <t>Income taxes receivable, net</t>
        </is>
      </c>
      <c r="B118" s="4">
        <f>'Balance Sheet'!B62</f>
        <v/>
      </c>
      <c r="C118" s="4">
        <f>'Balance Sheet'!C62</f>
        <v/>
      </c>
      <c r="D118" s="4">
        <f>'Balance Sheet'!D62</f>
        <v/>
      </c>
      <c r="E118" s="4">
        <f>'Balance Sheet'!E62</f>
        <v/>
      </c>
      <c r="F118" s="4">
        <f>'Balance Sheet'!F62</f>
        <v/>
      </c>
      <c r="G118" s="4">
        <f>'Balance Sheet'!G62</f>
        <v/>
      </c>
      <c r="H118" s="4">
        <f>'Balance Sheet'!H62</f>
        <v/>
      </c>
      <c r="I118" s="4">
        <f>'Balance Sheet'!I62</f>
        <v/>
      </c>
      <c r="J118" s="4">
        <f>'Balance Sheet'!J62</f>
        <v/>
      </c>
      <c r="L118" s="48">
        <f>$L$54</f>
        <v/>
      </c>
    </row>
    <row r="119">
      <c r="A119" t="inlineStr">
        <is>
          <t>Inventory</t>
        </is>
      </c>
      <c r="B119" s="4">
        <f>'Balance Sheet'!B63</f>
        <v/>
      </c>
      <c r="C119" s="4">
        <f>'Balance Sheet'!C63</f>
        <v/>
      </c>
      <c r="D119" s="4">
        <f>'Balance Sheet'!D63</f>
        <v/>
      </c>
      <c r="E119" s="4">
        <f>'Balance Sheet'!E63</f>
        <v/>
      </c>
      <c r="F119" s="4">
        <f>'Balance Sheet'!F63</f>
        <v/>
      </c>
      <c r="G119" s="4">
        <f>'Balance Sheet'!G63</f>
        <v/>
      </c>
      <c r="H119" s="4">
        <f>'Balance Sheet'!H63</f>
        <v/>
      </c>
      <c r="I119" s="4">
        <f>'Balance Sheet'!I63</f>
        <v/>
      </c>
      <c r="J119" s="4">
        <f>'Balance Sheet'!J63</f>
        <v/>
      </c>
      <c r="L119" s="48">
        <f>$L$55</f>
        <v/>
      </c>
    </row>
    <row r="120">
      <c r="A120" t="inlineStr">
        <is>
          <t>Other current assets</t>
        </is>
      </c>
      <c r="B120" s="4">
        <f>'Balance Sheet'!B64</f>
        <v/>
      </c>
      <c r="C120" s="4">
        <f>'Balance Sheet'!C64</f>
        <v/>
      </c>
      <c r="D120" s="4">
        <f>'Balance Sheet'!D64</f>
        <v/>
      </c>
      <c r="E120" s="4">
        <f>'Balance Sheet'!E64</f>
        <v/>
      </c>
      <c r="F120" s="4">
        <f>'Balance Sheet'!F64</f>
        <v/>
      </c>
      <c r="G120" s="4">
        <f>'Balance Sheet'!G64</f>
        <v/>
      </c>
      <c r="H120" s="4">
        <f>'Balance Sheet'!H64</f>
        <v/>
      </c>
      <c r="I120" s="4">
        <f>'Balance Sheet'!I64</f>
        <v/>
      </c>
      <c r="J120" s="4">
        <f>'Balance Sheet'!J64</f>
        <v/>
      </c>
      <c r="L120" s="48">
        <f>$L$56</f>
        <v/>
      </c>
    </row>
    <row r="121">
      <c r="A121" t="inlineStr">
        <is>
          <t>Non-marketable securities</t>
        </is>
      </c>
      <c r="B121" s="4">
        <f>'Balance Sheet'!B68</f>
        <v/>
      </c>
      <c r="C121" s="4">
        <f>'Balance Sheet'!C68</f>
        <v/>
      </c>
      <c r="D121" s="4">
        <f>'Balance Sheet'!D68</f>
        <v/>
      </c>
      <c r="E121" s="4">
        <f>'Balance Sheet'!E68</f>
        <v/>
      </c>
      <c r="F121" s="4">
        <f>'Balance Sheet'!F68</f>
        <v/>
      </c>
      <c r="G121" s="4">
        <f>'Balance Sheet'!G68</f>
        <v/>
      </c>
      <c r="H121" s="4">
        <f>'Balance Sheet'!H68</f>
        <v/>
      </c>
      <c r="I121" s="4">
        <f>'Balance Sheet'!I68</f>
        <v/>
      </c>
      <c r="J121" s="4">
        <f>'Balance Sheet'!J68</f>
        <v/>
      </c>
      <c r="L121" s="48">
        <f>$L$57</f>
        <v/>
      </c>
    </row>
    <row r="122">
      <c r="A122" t="inlineStr">
        <is>
          <t>Deferred income taxes</t>
        </is>
      </c>
      <c r="B122" s="4">
        <f>'Balance Sheet'!B69</f>
        <v/>
      </c>
      <c r="C122" s="4">
        <f>'Balance Sheet'!C69</f>
        <v/>
      </c>
      <c r="D122" s="4">
        <f>'Balance Sheet'!D69</f>
        <v/>
      </c>
      <c r="E122" s="4">
        <f>'Balance Sheet'!E69</f>
        <v/>
      </c>
      <c r="F122" s="4">
        <f>'Balance Sheet'!F69</f>
        <v/>
      </c>
      <c r="G122" s="4">
        <f>'Balance Sheet'!G69</f>
        <v/>
      </c>
      <c r="H122" s="4">
        <f>'Balance Sheet'!H69</f>
        <v/>
      </c>
      <c r="I122" s="4">
        <f>'Balance Sheet'!I69</f>
        <v/>
      </c>
      <c r="J122" s="4">
        <f>'Balance Sheet'!J69</f>
        <v/>
      </c>
      <c r="L122" s="48">
        <f>$L$58</f>
        <v/>
      </c>
    </row>
    <row r="123">
      <c r="A123" t="inlineStr">
        <is>
          <t>Property and equipment, net</t>
        </is>
      </c>
      <c r="B123" s="4">
        <f>'Balance Sheet'!B70</f>
        <v/>
      </c>
      <c r="C123" s="4">
        <f>'Balance Sheet'!C70</f>
        <v/>
      </c>
      <c r="D123" s="4">
        <f>'Balance Sheet'!D70</f>
        <v/>
      </c>
      <c r="E123" s="4">
        <f>'Balance Sheet'!E70</f>
        <v/>
      </c>
      <c r="F123" s="4">
        <f>'Balance Sheet'!F70</f>
        <v/>
      </c>
      <c r="G123" s="4">
        <f>'Balance Sheet'!G70</f>
        <v/>
      </c>
      <c r="H123" s="4">
        <f>'Balance Sheet'!H70</f>
        <v/>
      </c>
      <c r="I123" s="4">
        <f>'Balance Sheet'!I70</f>
        <v/>
      </c>
      <c r="J123" s="4">
        <f>'Balance Sheet'!J70</f>
        <v/>
      </c>
      <c r="L123" s="48">
        <f>$L$59</f>
        <v/>
      </c>
    </row>
    <row r="124">
      <c r="A124" t="inlineStr">
        <is>
          <t>Operating lease assets</t>
        </is>
      </c>
      <c r="B124" s="4">
        <f>'Balance Sheet'!B71</f>
        <v/>
      </c>
      <c r="C124" s="4">
        <f>'Balance Sheet'!C71</f>
        <v/>
      </c>
      <c r="D124" s="4">
        <f>'Balance Sheet'!D71</f>
        <v/>
      </c>
      <c r="E124" s="4">
        <f>'Balance Sheet'!E71</f>
        <v/>
      </c>
      <c r="F124" s="4">
        <f>'Balance Sheet'!F71</f>
        <v/>
      </c>
      <c r="G124" s="4">
        <f>'Balance Sheet'!G71</f>
        <v/>
      </c>
      <c r="H124" s="4">
        <f>'Balance Sheet'!H71</f>
        <v/>
      </c>
      <c r="I124" s="4">
        <f>'Balance Sheet'!I71</f>
        <v/>
      </c>
      <c r="J124" s="4">
        <f>'Balance Sheet'!J71</f>
        <v/>
      </c>
      <c r="L124" s="48">
        <f>$L$60</f>
        <v/>
      </c>
    </row>
    <row r="125">
      <c r="A125" t="inlineStr">
        <is>
          <t>Goodwill</t>
        </is>
      </c>
      <c r="B125" s="4">
        <f>'Balance Sheet'!B72</f>
        <v/>
      </c>
      <c r="C125" s="4">
        <f>'Balance Sheet'!C72</f>
        <v/>
      </c>
      <c r="D125" s="4">
        <f>'Balance Sheet'!D72</f>
        <v/>
      </c>
      <c r="E125" s="4">
        <f>'Balance Sheet'!E72</f>
        <v/>
      </c>
      <c r="F125" s="4">
        <f>'Balance Sheet'!F72</f>
        <v/>
      </c>
      <c r="G125" s="4">
        <f>'Balance Sheet'!G72</f>
        <v/>
      </c>
      <c r="H125" s="4">
        <f>'Balance Sheet'!H72</f>
        <v/>
      </c>
      <c r="I125" s="4">
        <f>'Balance Sheet'!I72</f>
        <v/>
      </c>
      <c r="J125" s="4">
        <f>'Balance Sheet'!J72</f>
        <v/>
      </c>
      <c r="L125" s="48">
        <f>$L$61</f>
        <v/>
      </c>
    </row>
    <row r="126">
      <c r="A126" t="inlineStr">
        <is>
          <t>Intangible assets, net</t>
        </is>
      </c>
      <c r="B126" s="4">
        <f>'Balance Sheet'!B73</f>
        <v/>
      </c>
      <c r="C126" s="4">
        <f>'Balance Sheet'!C73</f>
        <v/>
      </c>
      <c r="D126" s="4">
        <f>'Balance Sheet'!D73</f>
        <v/>
      </c>
      <c r="E126" s="4">
        <f>'Balance Sheet'!E73</f>
        <v/>
      </c>
      <c r="F126" s="4">
        <f>'Balance Sheet'!F73</f>
        <v/>
      </c>
      <c r="G126" s="4">
        <f>'Balance Sheet'!G73</f>
        <v/>
      </c>
      <c r="H126" s="4">
        <f>'Balance Sheet'!H73</f>
        <v/>
      </c>
      <c r="I126" s="4">
        <f>'Balance Sheet'!I73</f>
        <v/>
      </c>
      <c r="J126" s="4">
        <f>'Balance Sheet'!J73</f>
        <v/>
      </c>
      <c r="L126" s="48">
        <f>$L$62</f>
        <v/>
      </c>
    </row>
    <row r="127">
      <c r="A127" t="inlineStr">
        <is>
          <t>Other non-current assets</t>
        </is>
      </c>
      <c r="B127" s="4">
        <f>'Balance Sheet'!B74</f>
        <v/>
      </c>
      <c r="C127" s="4">
        <f>'Balance Sheet'!C74</f>
        <v/>
      </c>
      <c r="D127" s="4">
        <f>'Balance Sheet'!D74</f>
        <v/>
      </c>
      <c r="E127" s="4">
        <f>'Balance Sheet'!E74</f>
        <v/>
      </c>
      <c r="F127" s="4">
        <f>'Balance Sheet'!F74</f>
        <v/>
      </c>
      <c r="G127" s="4">
        <f>'Balance Sheet'!G74</f>
        <v/>
      </c>
      <c r="H127" s="4">
        <f>'Balance Sheet'!H74</f>
        <v/>
      </c>
      <c r="I127" s="4">
        <f>'Balance Sheet'!I74</f>
        <v/>
      </c>
      <c r="J127" s="4">
        <f>'Balance Sheet'!J74</f>
        <v/>
      </c>
      <c r="L127" s="48">
        <f>$L$63</f>
        <v/>
      </c>
    </row>
    <row r="128">
      <c r="A128" t="inlineStr">
        <is>
          <t>Accounts payable</t>
        </is>
      </c>
      <c r="B128" s="4">
        <f>'Balance Sheet'!B78</f>
        <v/>
      </c>
      <c r="C128" s="4">
        <f>'Balance Sheet'!C78</f>
        <v/>
      </c>
      <c r="D128" s="4">
        <f>'Balance Sheet'!D78</f>
        <v/>
      </c>
      <c r="E128" s="4">
        <f>'Balance Sheet'!E78</f>
        <v/>
      </c>
      <c r="F128" s="4">
        <f>'Balance Sheet'!F78</f>
        <v/>
      </c>
      <c r="G128" s="4">
        <f>'Balance Sheet'!G78</f>
        <v/>
      </c>
      <c r="H128" s="4">
        <f>'Balance Sheet'!H78</f>
        <v/>
      </c>
      <c r="I128" s="4">
        <f>'Balance Sheet'!I78</f>
        <v/>
      </c>
      <c r="J128" s="4">
        <f>'Balance Sheet'!J78</f>
        <v/>
      </c>
      <c r="L128" s="48">
        <f>$L$64</f>
        <v/>
      </c>
    </row>
    <row r="129">
      <c r="A129" t="inlineStr">
        <is>
          <t>Accrued compensation and benefits</t>
        </is>
      </c>
      <c r="B129" s="4">
        <f>'Balance Sheet'!B79</f>
        <v/>
      </c>
      <c r="C129" s="4">
        <f>'Balance Sheet'!C79</f>
        <v/>
      </c>
      <c r="D129" s="4">
        <f>'Balance Sheet'!D79</f>
        <v/>
      </c>
      <c r="E129" s="4">
        <f>'Balance Sheet'!E79</f>
        <v/>
      </c>
      <c r="F129" s="4">
        <f>'Balance Sheet'!F79</f>
        <v/>
      </c>
      <c r="G129" s="4">
        <f>'Balance Sheet'!G79</f>
        <v/>
      </c>
      <c r="H129" s="4">
        <f>'Balance Sheet'!H79</f>
        <v/>
      </c>
      <c r="I129" s="4">
        <f>'Balance Sheet'!I79</f>
        <v/>
      </c>
      <c r="J129" s="4">
        <f>'Balance Sheet'!J79</f>
        <v/>
      </c>
      <c r="L129" s="48">
        <f>$L$65</f>
        <v/>
      </c>
    </row>
    <row r="130">
      <c r="A130" t="inlineStr">
        <is>
          <t>Accrued expenses and other current liabilities</t>
        </is>
      </c>
      <c r="B130" s="4">
        <f>'Balance Sheet'!B80</f>
        <v/>
      </c>
      <c r="C130" s="4">
        <f>'Balance Sheet'!C80</f>
        <v/>
      </c>
      <c r="D130" s="4">
        <f>'Balance Sheet'!D80</f>
        <v/>
      </c>
      <c r="E130" s="4">
        <f>'Balance Sheet'!E80</f>
        <v/>
      </c>
      <c r="F130" s="4">
        <f>'Balance Sheet'!F80</f>
        <v/>
      </c>
      <c r="G130" s="4">
        <f>'Balance Sheet'!G80</f>
        <v/>
      </c>
      <c r="H130" s="4">
        <f>'Balance Sheet'!H80</f>
        <v/>
      </c>
      <c r="I130" s="4">
        <f>'Balance Sheet'!I80</f>
        <v/>
      </c>
      <c r="J130" s="4">
        <f>'Balance Sheet'!J80</f>
        <v/>
      </c>
      <c r="L130" s="48">
        <f>$L$66</f>
        <v/>
      </c>
    </row>
    <row r="131">
      <c r="A131" t="inlineStr">
        <is>
          <t>Accrued revenue share</t>
        </is>
      </c>
      <c r="B131" s="4">
        <f>'Balance Sheet'!B81</f>
        <v/>
      </c>
      <c r="C131" s="4">
        <f>'Balance Sheet'!C81</f>
        <v/>
      </c>
      <c r="D131" s="4">
        <f>'Balance Sheet'!D81</f>
        <v/>
      </c>
      <c r="E131" s="4">
        <f>'Balance Sheet'!E81</f>
        <v/>
      </c>
      <c r="F131" s="4">
        <f>'Balance Sheet'!F81</f>
        <v/>
      </c>
      <c r="G131" s="4">
        <f>'Balance Sheet'!G81</f>
        <v/>
      </c>
      <c r="H131" s="4">
        <f>'Balance Sheet'!H81</f>
        <v/>
      </c>
      <c r="I131" s="4">
        <f>'Balance Sheet'!I81</f>
        <v/>
      </c>
      <c r="J131" s="4">
        <f>'Balance Sheet'!J81</f>
        <v/>
      </c>
      <c r="L131" s="48">
        <f>$L$67</f>
        <v/>
      </c>
    </row>
    <row r="132">
      <c r="A132" t="inlineStr">
        <is>
          <t>Deferred revenue</t>
        </is>
      </c>
      <c r="B132" s="4">
        <f>'Balance Sheet'!B82</f>
        <v/>
      </c>
      <c r="C132" s="4">
        <f>'Balance Sheet'!C82</f>
        <v/>
      </c>
      <c r="D132" s="4">
        <f>'Balance Sheet'!D82</f>
        <v/>
      </c>
      <c r="E132" s="4">
        <f>'Balance Sheet'!E82</f>
        <v/>
      </c>
      <c r="F132" s="4">
        <f>'Balance Sheet'!F82</f>
        <v/>
      </c>
      <c r="G132" s="4">
        <f>'Balance Sheet'!G82</f>
        <v/>
      </c>
      <c r="H132" s="4">
        <f>'Balance Sheet'!H82</f>
        <v/>
      </c>
      <c r="I132" s="4">
        <f>'Balance Sheet'!I82</f>
        <v/>
      </c>
      <c r="J132" s="4">
        <f>'Balance Sheet'!J82</f>
        <v/>
      </c>
      <c r="L132" s="48">
        <f>$L$68</f>
        <v/>
      </c>
    </row>
    <row r="133">
      <c r="A133" t="inlineStr">
        <is>
          <t>Income taxes payable, net</t>
        </is>
      </c>
      <c r="B133" s="4">
        <f>'Balance Sheet'!B83</f>
        <v/>
      </c>
      <c r="C133" s="4">
        <f>'Balance Sheet'!C83</f>
        <v/>
      </c>
      <c r="D133" s="4">
        <f>'Balance Sheet'!D83</f>
        <v/>
      </c>
      <c r="E133" s="4">
        <f>'Balance Sheet'!E83</f>
        <v/>
      </c>
      <c r="F133" s="4">
        <f>'Balance Sheet'!F83</f>
        <v/>
      </c>
      <c r="G133" s="4">
        <f>'Balance Sheet'!G83</f>
        <v/>
      </c>
      <c r="H133" s="4">
        <f>'Balance Sheet'!H83</f>
        <v/>
      </c>
      <c r="I133" s="4">
        <f>'Balance Sheet'!I83</f>
        <v/>
      </c>
      <c r="J133" s="4">
        <f>'Balance Sheet'!J83</f>
        <v/>
      </c>
      <c r="L133" s="48">
        <f>$L$69</f>
        <v/>
      </c>
    </row>
    <row r="134">
      <c r="A134" t="inlineStr">
        <is>
          <t>Long-term debt</t>
        </is>
      </c>
      <c r="B134" s="4">
        <f>'Balance Sheet'!B87</f>
        <v/>
      </c>
      <c r="C134" s="4">
        <f>'Balance Sheet'!C87</f>
        <v/>
      </c>
      <c r="D134" s="4">
        <f>'Balance Sheet'!D87</f>
        <v/>
      </c>
      <c r="E134" s="4">
        <f>'Balance Sheet'!E87</f>
        <v/>
      </c>
      <c r="F134" s="4">
        <f>'Balance Sheet'!F87</f>
        <v/>
      </c>
      <c r="G134" s="4">
        <f>'Balance Sheet'!G87</f>
        <v/>
      </c>
      <c r="H134" s="4">
        <f>'Balance Sheet'!H87</f>
        <v/>
      </c>
      <c r="I134" s="4">
        <f>'Balance Sheet'!I87</f>
        <v/>
      </c>
      <c r="J134" s="4">
        <f>'Balance Sheet'!J87</f>
        <v/>
      </c>
      <c r="L134" s="48">
        <f>$L$70</f>
        <v/>
      </c>
    </row>
    <row r="135">
      <c r="A135" t="inlineStr">
        <is>
          <t>Deferred revenue, non-current</t>
        </is>
      </c>
      <c r="B135" s="4">
        <f>'Balance Sheet'!B88</f>
        <v/>
      </c>
      <c r="C135" s="4">
        <f>'Balance Sheet'!C88</f>
        <v/>
      </c>
      <c r="D135" s="4">
        <f>'Balance Sheet'!D88</f>
        <v/>
      </c>
      <c r="E135" s="4">
        <f>'Balance Sheet'!E88</f>
        <v/>
      </c>
      <c r="F135" s="4">
        <f>'Balance Sheet'!F88</f>
        <v/>
      </c>
      <c r="G135" s="4">
        <f>'Balance Sheet'!G88</f>
        <v/>
      </c>
      <c r="H135" s="4">
        <f>'Balance Sheet'!H88</f>
        <v/>
      </c>
      <c r="I135" s="4">
        <f>'Balance Sheet'!I88</f>
        <v/>
      </c>
      <c r="J135" s="4">
        <f>'Balance Sheet'!J88</f>
        <v/>
      </c>
      <c r="L135" s="48">
        <f>$L$71</f>
        <v/>
      </c>
    </row>
    <row r="136">
      <c r="A136" t="inlineStr">
        <is>
          <t>Income taxes payable, non-current</t>
        </is>
      </c>
      <c r="B136" s="4">
        <f>'Balance Sheet'!B89</f>
        <v/>
      </c>
      <c r="C136" s="4">
        <f>'Balance Sheet'!C89</f>
        <v/>
      </c>
      <c r="D136" s="4">
        <f>'Balance Sheet'!D89</f>
        <v/>
      </c>
      <c r="E136" s="4">
        <f>'Balance Sheet'!E89</f>
        <v/>
      </c>
      <c r="F136" s="4">
        <f>'Balance Sheet'!F89</f>
        <v/>
      </c>
      <c r="G136" s="4">
        <f>'Balance Sheet'!G89</f>
        <v/>
      </c>
      <c r="H136" s="4">
        <f>'Balance Sheet'!H89</f>
        <v/>
      </c>
      <c r="I136" s="4">
        <f>'Balance Sheet'!I89</f>
        <v/>
      </c>
      <c r="J136" s="4">
        <f>'Balance Sheet'!J89</f>
        <v/>
      </c>
      <c r="L136" s="48">
        <f>$L$72</f>
        <v/>
      </c>
    </row>
    <row r="137">
      <c r="A137" t="inlineStr">
        <is>
          <t>Deferred income taxes, non-current</t>
        </is>
      </c>
      <c r="B137" s="4">
        <f>'Balance Sheet'!B90</f>
        <v/>
      </c>
      <c r="C137" s="4">
        <f>'Balance Sheet'!C90</f>
        <v/>
      </c>
      <c r="D137" s="4">
        <f>'Balance Sheet'!D90</f>
        <v/>
      </c>
      <c r="E137" s="4">
        <f>'Balance Sheet'!E90</f>
        <v/>
      </c>
      <c r="F137" s="4">
        <f>'Balance Sheet'!F90</f>
        <v/>
      </c>
      <c r="G137" s="4">
        <f>'Balance Sheet'!G90</f>
        <v/>
      </c>
      <c r="H137" s="4">
        <f>'Balance Sheet'!H90</f>
        <v/>
      </c>
      <c r="I137" s="4">
        <f>'Balance Sheet'!I90</f>
        <v/>
      </c>
      <c r="J137" s="4">
        <f>'Balance Sheet'!J90</f>
        <v/>
      </c>
      <c r="L137" s="48">
        <f>$L$73</f>
        <v/>
      </c>
    </row>
    <row r="138">
      <c r="A138" t="inlineStr">
        <is>
          <t>Operating lease liabilities, non-current</t>
        </is>
      </c>
      <c r="B138" s="4">
        <f>'Balance Sheet'!B91</f>
        <v/>
      </c>
      <c r="C138" s="4">
        <f>'Balance Sheet'!C91</f>
        <v/>
      </c>
      <c r="D138" s="4">
        <f>'Balance Sheet'!D91</f>
        <v/>
      </c>
      <c r="E138" s="4">
        <f>'Balance Sheet'!E91</f>
        <v/>
      </c>
      <c r="F138" s="4">
        <f>'Balance Sheet'!F91</f>
        <v/>
      </c>
      <c r="G138" s="4">
        <f>'Balance Sheet'!G91</f>
        <v/>
      </c>
      <c r="H138" s="4">
        <f>'Balance Sheet'!H91</f>
        <v/>
      </c>
      <c r="I138" s="4">
        <f>'Balance Sheet'!I91</f>
        <v/>
      </c>
      <c r="J138" s="4">
        <f>'Balance Sheet'!J91</f>
        <v/>
      </c>
      <c r="L138" s="48">
        <f>$L$74</f>
        <v/>
      </c>
    </row>
    <row r="139">
      <c r="A139" t="inlineStr">
        <is>
          <t>Other long-term liabilities</t>
        </is>
      </c>
      <c r="B139" s="4">
        <f>'Balance Sheet'!B92</f>
        <v/>
      </c>
      <c r="C139" s="4">
        <f>'Balance Sheet'!C92</f>
        <v/>
      </c>
      <c r="D139" s="4">
        <f>'Balance Sheet'!D92</f>
        <v/>
      </c>
      <c r="E139" s="4">
        <f>'Balance Sheet'!E92</f>
        <v/>
      </c>
      <c r="F139" s="4">
        <f>'Balance Sheet'!F92</f>
        <v/>
      </c>
      <c r="G139" s="4">
        <f>'Balance Sheet'!G92</f>
        <v/>
      </c>
      <c r="H139" s="4">
        <f>'Balance Sheet'!H92</f>
        <v/>
      </c>
      <c r="I139" s="4">
        <f>'Balance Sheet'!I92</f>
        <v/>
      </c>
      <c r="J139" s="4">
        <f>'Balance Sheet'!J92</f>
        <v/>
      </c>
      <c r="L139" s="48">
        <f>$L$75</f>
        <v/>
      </c>
    </row>
    <row r="140">
      <c r="A140" t="inlineStr">
        <is>
          <t>Class A/B/C stock and additional paid-in capital</t>
        </is>
      </c>
      <c r="B140" s="4">
        <f>'Balance Sheet'!B96</f>
        <v/>
      </c>
      <c r="C140" s="4">
        <f>'Balance Sheet'!C96</f>
        <v/>
      </c>
      <c r="D140" s="4">
        <f>'Balance Sheet'!D96</f>
        <v/>
      </c>
      <c r="E140" s="4">
        <f>'Balance Sheet'!E96</f>
        <v/>
      </c>
      <c r="F140" s="4">
        <f>'Balance Sheet'!F96</f>
        <v/>
      </c>
      <c r="G140" s="4">
        <f>'Balance Sheet'!G96</f>
        <v/>
      </c>
      <c r="H140" s="4">
        <f>'Balance Sheet'!H96</f>
        <v/>
      </c>
      <c r="I140" s="4">
        <f>'Balance Sheet'!I96</f>
        <v/>
      </c>
      <c r="J140" s="4">
        <f>'Balance Sheet'!J96</f>
        <v/>
      </c>
      <c r="L140" s="48">
        <f>"Equity"</f>
        <v/>
      </c>
    </row>
    <row r="141">
      <c r="A141" t="inlineStr">
        <is>
          <t>Accumulated other comprehensive income (loss)</t>
        </is>
      </c>
      <c r="B141" s="4">
        <f>'Balance Sheet'!B97</f>
        <v/>
      </c>
      <c r="C141" s="4">
        <f>'Balance Sheet'!C97</f>
        <v/>
      </c>
      <c r="D141" s="4">
        <f>'Balance Sheet'!D97</f>
        <v/>
      </c>
      <c r="E141" s="4">
        <f>'Balance Sheet'!E97</f>
        <v/>
      </c>
      <c r="F141" s="4">
        <f>'Balance Sheet'!F97</f>
        <v/>
      </c>
      <c r="G141" s="4">
        <f>'Balance Sheet'!G97</f>
        <v/>
      </c>
      <c r="H141" s="4">
        <f>'Balance Sheet'!H97</f>
        <v/>
      </c>
      <c r="I141" s="4">
        <f>'Balance Sheet'!I97</f>
        <v/>
      </c>
      <c r="J141" s="4">
        <f>'Balance Sheet'!J97</f>
        <v/>
      </c>
      <c r="L141" s="48">
        <f>"Equity"</f>
        <v/>
      </c>
    </row>
    <row r="142">
      <c r="A142" t="inlineStr">
        <is>
          <t>Retained earnings</t>
        </is>
      </c>
      <c r="B142" s="4">
        <f>'Balance Sheet'!B98</f>
        <v/>
      </c>
      <c r="C142" s="4">
        <f>'Balance Sheet'!C98</f>
        <v/>
      </c>
      <c r="D142" s="4">
        <f>'Balance Sheet'!D98</f>
        <v/>
      </c>
      <c r="E142" s="4">
        <f>'Balance Sheet'!E98</f>
        <v/>
      </c>
      <c r="F142" s="4">
        <f>'Balance Sheet'!F98</f>
        <v/>
      </c>
      <c r="G142" s="4">
        <f>'Balance Sheet'!G98</f>
        <v/>
      </c>
      <c r="H142" s="4">
        <f>'Balance Sheet'!H98</f>
        <v/>
      </c>
      <c r="I142" s="4">
        <f>'Balance Sheet'!I98</f>
        <v/>
      </c>
      <c r="J142" s="4">
        <f>'Balance Sheet'!J98</f>
        <v/>
      </c>
      <c r="L142" s="48">
        <f>"Equity"</f>
        <v/>
      </c>
    </row>
  </sheetData>
  <dataValidations count="1">
    <dataValidation sqref="L51:L78" showDropDown="0" showInputMessage="0" showErrorMessage="0" allowBlank="0" type="list">
      <formula1>"Operating Working Capital Asset,Operating Working Capital Liability,Operating Long-Term Asset,Operating Long-Term Liability,Financial Asset,Financial Liability,Equity,Exclude"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zoomScale="180" zoomScaleNormal="180" workbookViewId="0">
      <pane xSplit="1" ySplit="5" topLeftCell="B28" activePane="bottomRight" state="frozen"/>
      <selection pane="topRight" activeCell="A1" sqref="A1"/>
      <selection pane="bottomLeft" activeCell="A1" sqref="A1"/>
      <selection pane="bottomRight" activeCell="J50" sqref="J50"/>
    </sheetView>
  </sheetViews>
  <sheetFormatPr baseColWidth="10" defaultColWidth="8.83203125" defaultRowHeight="15"/>
  <cols>
    <col width="42" customWidth="1" style="92" min="1" max="1"/>
    <col width="16" customWidth="1" style="92" min="2" max="11"/>
  </cols>
  <sheetData>
    <row r="1">
      <c r="A1" s="8" t="inlineStr">
        <is>
          <t>Alphabet Inc. (GOOGL) — Alternative DuPont Decomposition</t>
        </is>
      </c>
    </row>
    <row r="2">
      <c r="A2" t="inlineStr">
        <is>
          <t>ROE = RNOA + FLEV × Spread</t>
        </is>
      </c>
    </row>
    <row r="3">
      <c r="A3" t="inlineStr">
        <is>
          <t>All values linked to Condensed Financials</t>
        </is>
      </c>
    </row>
    <row r="4"/>
    <row r="5">
      <c r="A5" s="8" t="inlineStr">
        <is>
          <t>Metric</t>
        </is>
      </c>
      <c r="B5" s="9">
        <f>'Income Statement'!B6</f>
        <v/>
      </c>
      <c r="C5" s="9">
        <f>'Income Statement'!C6</f>
        <v/>
      </c>
      <c r="D5" s="9">
        <f>'Income Statement'!D6</f>
        <v/>
      </c>
      <c r="E5" s="9">
        <f>'Income Statement'!E6</f>
        <v/>
      </c>
      <c r="F5" s="9">
        <f>'Income Statement'!F6</f>
        <v/>
      </c>
      <c r="G5" s="9">
        <f>'Income Statement'!G6</f>
        <v/>
      </c>
      <c r="H5" s="9">
        <f>'Income Statement'!H6</f>
        <v/>
      </c>
      <c r="I5" s="9">
        <f>'Income Statement'!I6</f>
        <v/>
      </c>
      <c r="J5" s="9">
        <f>'Income Statement'!J6</f>
        <v/>
      </c>
      <c r="K5" s="9">
        <f>'Income Statement'!K6</f>
        <v/>
      </c>
    </row>
    <row r="6"/>
    <row r="7">
      <c r="A7" t="inlineStr">
        <is>
          <t>Revenue</t>
        </is>
      </c>
      <c r="B7" s="4">
        <f>'Income Statement'!B7</f>
        <v/>
      </c>
      <c r="C7" s="4">
        <f>'Income Statement'!C7</f>
        <v/>
      </c>
      <c r="D7" s="4">
        <f>'Income Statement'!D7</f>
        <v/>
      </c>
      <c r="E7" s="4">
        <f>'Income Statement'!E7</f>
        <v/>
      </c>
      <c r="F7" s="4">
        <f>'Income Statement'!F7</f>
        <v/>
      </c>
      <c r="G7" s="4">
        <f>'Income Statement'!G7</f>
        <v/>
      </c>
      <c r="H7" s="4">
        <f>'Income Statement'!H7</f>
        <v/>
      </c>
      <c r="I7" s="4">
        <f>'Income Statement'!I7</f>
        <v/>
      </c>
      <c r="J7" s="4">
        <f>'Income Statement'!J7</f>
        <v/>
      </c>
      <c r="K7" s="4">
        <f>'Income Statement'!K7</f>
        <v/>
      </c>
    </row>
    <row r="8">
      <c r="A8" t="inlineStr">
        <is>
          <t>NOPAT</t>
        </is>
      </c>
      <c r="B8" s="4">
        <f>'Condensed Financials'!B17</f>
        <v/>
      </c>
      <c r="C8" s="4">
        <f>'Condensed Financials'!C17</f>
        <v/>
      </c>
      <c r="D8" s="4">
        <f>'Condensed Financials'!D17</f>
        <v/>
      </c>
      <c r="E8" s="4">
        <f>'Condensed Financials'!E17</f>
        <v/>
      </c>
      <c r="F8" s="4">
        <f>'Condensed Financials'!F17</f>
        <v/>
      </c>
      <c r="G8" s="4">
        <f>'Condensed Financials'!G17</f>
        <v/>
      </c>
      <c r="H8" s="4">
        <f>'Condensed Financials'!H17</f>
        <v/>
      </c>
      <c r="I8" s="4">
        <f>'Condensed Financials'!I17</f>
        <v/>
      </c>
      <c r="J8" s="4">
        <f>'Condensed Financials'!J17</f>
        <v/>
      </c>
      <c r="K8" s="4">
        <f>'Condensed Financials'!K17</f>
        <v/>
      </c>
    </row>
    <row r="9">
      <c r="A9" t="inlineStr">
        <is>
          <t>Net Income</t>
        </is>
      </c>
      <c r="B9" s="4">
        <f>'Condensed Financials'!B8</f>
        <v/>
      </c>
      <c r="C9" s="4">
        <f>'Condensed Financials'!C8</f>
        <v/>
      </c>
      <c r="D9" s="4">
        <f>'Condensed Financials'!D8</f>
        <v/>
      </c>
      <c r="E9" s="4">
        <f>'Condensed Financials'!E8</f>
        <v/>
      </c>
      <c r="F9" s="4">
        <f>'Condensed Financials'!F8</f>
        <v/>
      </c>
      <c r="G9" s="4">
        <f>'Condensed Financials'!G8</f>
        <v/>
      </c>
      <c r="H9" s="4">
        <f>'Condensed Financials'!H8</f>
        <v/>
      </c>
      <c r="I9" s="4">
        <f>'Condensed Financials'!I8</f>
        <v/>
      </c>
      <c r="J9" s="4">
        <f>'Condensed Financials'!J8</f>
        <v/>
      </c>
      <c r="K9" s="4">
        <f>'Condensed Financials'!K8</f>
        <v/>
      </c>
    </row>
    <row r="10">
      <c r="A10" t="inlineStr">
        <is>
          <t>Net Interest After Tax</t>
        </is>
      </c>
      <c r="B10" s="4">
        <f>'Condensed Financials'!B16</f>
        <v/>
      </c>
      <c r="C10" s="4">
        <f>'Condensed Financials'!C16</f>
        <v/>
      </c>
      <c r="D10" s="4">
        <f>'Condensed Financials'!D16</f>
        <v/>
      </c>
      <c r="E10" s="4">
        <f>'Condensed Financials'!E16</f>
        <v/>
      </c>
      <c r="F10" s="4">
        <f>'Condensed Financials'!F16</f>
        <v/>
      </c>
      <c r="G10" s="4">
        <f>'Condensed Financials'!G16</f>
        <v/>
      </c>
      <c r="H10" s="4">
        <f>'Condensed Financials'!H16</f>
        <v/>
      </c>
      <c r="I10" s="4">
        <f>'Condensed Financials'!I16</f>
        <v/>
      </c>
      <c r="J10" s="4">
        <f>'Condensed Financials'!J16</f>
        <v/>
      </c>
      <c r="K10" s="4">
        <f>'Condensed Financials'!K16</f>
        <v/>
      </c>
    </row>
    <row r="11"/>
    <row r="12">
      <c r="A12" t="inlineStr">
        <is>
          <t>NOA (Beginning)</t>
        </is>
      </c>
      <c r="B12" t="inlineStr">
        <is>
          <t>n/a</t>
        </is>
      </c>
      <c r="C12" s="4">
        <f>'Condensed Financials'!B33</f>
        <v/>
      </c>
      <c r="D12" s="4">
        <f>'Condensed Financials'!C33</f>
        <v/>
      </c>
      <c r="E12" s="4">
        <f>'Condensed Financials'!D33</f>
        <v/>
      </c>
      <c r="F12" s="4">
        <f>'Condensed Financials'!E33</f>
        <v/>
      </c>
      <c r="G12" s="4">
        <f>'Condensed Financials'!F33</f>
        <v/>
      </c>
      <c r="H12" s="4">
        <f>'Condensed Financials'!G33</f>
        <v/>
      </c>
      <c r="I12" s="4">
        <f>'Condensed Financials'!H33</f>
        <v/>
      </c>
      <c r="J12" s="4">
        <f>'Condensed Financials'!I33</f>
        <v/>
      </c>
      <c r="K12" s="4">
        <f>'Condensed Financials'!J33</f>
        <v/>
      </c>
    </row>
    <row r="13">
      <c r="A13" t="inlineStr">
        <is>
          <t>Net Debt (Beginning)</t>
        </is>
      </c>
      <c r="B13" t="inlineStr">
        <is>
          <t>n/a</t>
        </is>
      </c>
      <c r="C13" s="4">
        <f>'Condensed Financials'!B37</f>
        <v/>
      </c>
      <c r="D13" s="4">
        <f>'Condensed Financials'!C37</f>
        <v/>
      </c>
      <c r="E13" s="4">
        <f>'Condensed Financials'!D37</f>
        <v/>
      </c>
      <c r="F13" s="4">
        <f>'Condensed Financials'!E37</f>
        <v/>
      </c>
      <c r="G13" s="4">
        <f>'Condensed Financials'!F37</f>
        <v/>
      </c>
      <c r="H13" s="4">
        <f>'Condensed Financials'!G37</f>
        <v/>
      </c>
      <c r="I13" s="4">
        <f>'Condensed Financials'!H37</f>
        <v/>
      </c>
      <c r="J13" s="4">
        <f>'Condensed Financials'!I37</f>
        <v/>
      </c>
      <c r="K13" s="4">
        <f>'Condensed Financials'!J37</f>
        <v/>
      </c>
    </row>
    <row r="14">
      <c r="A14" t="inlineStr">
        <is>
          <t>Equity (Beginning)</t>
        </is>
      </c>
      <c r="B14" t="inlineStr">
        <is>
          <t>n/a</t>
        </is>
      </c>
      <c r="C14" s="4">
        <f>'Condensed Financials'!B40</f>
        <v/>
      </c>
      <c r="D14" s="4">
        <f>'Condensed Financials'!C40</f>
        <v/>
      </c>
      <c r="E14" s="4">
        <f>'Condensed Financials'!D40</f>
        <v/>
      </c>
      <c r="F14" s="4">
        <f>'Condensed Financials'!E40</f>
        <v/>
      </c>
      <c r="G14" s="4">
        <f>'Condensed Financials'!F40</f>
        <v/>
      </c>
      <c r="H14" s="4">
        <f>'Condensed Financials'!G40</f>
        <v/>
      </c>
      <c r="I14" s="4">
        <f>'Condensed Financials'!H40</f>
        <v/>
      </c>
      <c r="J14" s="4">
        <f>'Condensed Financials'!I40</f>
        <v/>
      </c>
      <c r="K14" s="4">
        <f>'Condensed Financials'!J40</f>
        <v/>
      </c>
    </row>
    <row r="15"/>
    <row r="16">
      <c r="A16" t="inlineStr">
        <is>
          <t>Sales Growth</t>
        </is>
      </c>
      <c r="B16" t="inlineStr">
        <is>
          <t>n/a</t>
        </is>
      </c>
      <c r="C16" s="1">
        <f>C7/B7-1</f>
        <v/>
      </c>
      <c r="D16" s="1">
        <f>D7/C7-1</f>
        <v/>
      </c>
      <c r="E16" s="1">
        <f>E7/D7-1</f>
        <v/>
      </c>
      <c r="F16" s="1">
        <f>F7/E7-1</f>
        <v/>
      </c>
      <c r="G16" s="1">
        <f>G7/F7-1</f>
        <v/>
      </c>
      <c r="H16" s="1">
        <f>H7/G7-1</f>
        <v/>
      </c>
      <c r="I16" s="1">
        <f>I7/H7-1</f>
        <v/>
      </c>
      <c r="J16" s="1">
        <f>J7/I7-1</f>
        <v/>
      </c>
      <c r="K16" s="1">
        <f>K7/J7-1</f>
        <v/>
      </c>
    </row>
    <row r="17">
      <c r="A17" t="inlineStr">
        <is>
          <t>NOPAT Margin</t>
        </is>
      </c>
      <c r="B17" s="1">
        <f>IFERROR(B8/B7,0)</f>
        <v/>
      </c>
      <c r="C17" s="1">
        <f>IFERROR(C8/C7,0)</f>
        <v/>
      </c>
      <c r="D17" s="1">
        <f>IFERROR(D8/D7,0)</f>
        <v/>
      </c>
      <c r="E17" s="1">
        <f>IFERROR(E8/E7,0)</f>
        <v/>
      </c>
      <c r="F17" s="1">
        <f>IFERROR(F8/F7,0)</f>
        <v/>
      </c>
      <c r="G17" s="1">
        <f>IFERROR(G8/G7,0)</f>
        <v/>
      </c>
      <c r="H17" s="1">
        <f>IFERROR(H8/H7,0)</f>
        <v/>
      </c>
      <c r="I17" s="1">
        <f>IFERROR(I8/I7,0)</f>
        <v/>
      </c>
      <c r="J17" s="1">
        <f>IFERROR(J8/J7,0)</f>
        <v/>
      </c>
      <c r="K17" s="1">
        <f>IFERROR(K8/K7,0)</f>
        <v/>
      </c>
    </row>
    <row r="18">
      <c r="A18" t="inlineStr">
        <is>
          <t>Avg NOA</t>
        </is>
      </c>
      <c r="B18" t="inlineStr">
        <is>
          <t>n/a</t>
        </is>
      </c>
      <c r="C18" s="4">
        <f>('Condensed Financials'!C33+'Condensed Financials'!B33)/2</f>
        <v/>
      </c>
      <c r="D18" s="4">
        <f>('Condensed Financials'!D33+'Condensed Financials'!C33)/2</f>
        <v/>
      </c>
      <c r="E18" s="4">
        <f>('Condensed Financials'!E33+'Condensed Financials'!D33)/2</f>
        <v/>
      </c>
      <c r="F18" s="4">
        <f>('Condensed Financials'!F33+'Condensed Financials'!E33)/2</f>
        <v/>
      </c>
      <c r="G18" s="4">
        <f>('Condensed Financials'!G33+'Condensed Financials'!F33)/2</f>
        <v/>
      </c>
      <c r="H18" s="4">
        <f>('Condensed Financials'!H33+'Condensed Financials'!G33)/2</f>
        <v/>
      </c>
      <c r="I18" s="4">
        <f>('Condensed Financials'!I33+'Condensed Financials'!H33)/2</f>
        <v/>
      </c>
      <c r="J18" s="4">
        <f>('Condensed Financials'!J33+'Condensed Financials'!I33)/2</f>
        <v/>
      </c>
      <c r="K18" s="4">
        <f>('Condensed Financials'!K33+'Condensed Financials'!J33)/2</f>
        <v/>
      </c>
    </row>
    <row r="19">
      <c r="A19" t="inlineStr">
        <is>
          <t>Asset Turnover (Revenue / Avg NOA)</t>
        </is>
      </c>
      <c r="B19" t="inlineStr">
        <is>
          <t>n/a</t>
        </is>
      </c>
      <c r="C19" s="3">
        <f>IFERROR(C7/C18,0)</f>
        <v/>
      </c>
      <c r="D19" s="3">
        <f>IFERROR(D7/D18,0)</f>
        <v/>
      </c>
      <c r="E19" s="3">
        <f>IFERROR(E7/E18,0)</f>
        <v/>
      </c>
      <c r="F19" s="3">
        <f>IFERROR(F7/F18,0)</f>
        <v/>
      </c>
      <c r="G19" s="3">
        <f>IFERROR(G7/G18,0)</f>
        <v/>
      </c>
      <c r="H19" s="3">
        <f>IFERROR(H7/H18,0)</f>
        <v/>
      </c>
      <c r="I19" s="3">
        <f>IFERROR(I7/I18,0)</f>
        <v/>
      </c>
      <c r="J19" s="3">
        <f>IFERROR(J7/J18,0)</f>
        <v/>
      </c>
      <c r="K19" s="3">
        <f>IFERROR(K7/K18,0)</f>
        <v/>
      </c>
    </row>
    <row r="20">
      <c r="A20" s="8" t="inlineStr">
        <is>
          <t>RNOA (NOPAT Margin × Turnover)</t>
        </is>
      </c>
      <c r="B20" t="inlineStr">
        <is>
          <t>n/a</t>
        </is>
      </c>
      <c r="C20" s="1">
        <f>C17*C19</f>
        <v/>
      </c>
      <c r="D20" s="1">
        <f>D17*D19</f>
        <v/>
      </c>
      <c r="E20" s="1">
        <f>E17*E19</f>
        <v/>
      </c>
      <c r="F20" s="1">
        <f>F17*F19</f>
        <v/>
      </c>
      <c r="G20" s="1">
        <f>G17*G19</f>
        <v/>
      </c>
      <c r="H20" s="1">
        <f>H17*H19</f>
        <v/>
      </c>
      <c r="I20" s="1">
        <f>I17*I19</f>
        <v/>
      </c>
      <c r="J20" s="1">
        <f>J17*J19</f>
        <v/>
      </c>
      <c r="K20" s="1">
        <f>K17*K19</f>
        <v/>
      </c>
    </row>
    <row r="21"/>
    <row r="22">
      <c r="A22" t="inlineStr">
        <is>
          <t>Avg Net Debt</t>
        </is>
      </c>
      <c r="B22" t="inlineStr">
        <is>
          <t>n/a</t>
        </is>
      </c>
      <c r="C22" s="4">
        <f>('Condensed Financials'!C37+'Condensed Financials'!B37)/2</f>
        <v/>
      </c>
      <c r="D22" s="4">
        <f>('Condensed Financials'!D37+'Condensed Financials'!C37)/2</f>
        <v/>
      </c>
      <c r="E22" s="4">
        <f>('Condensed Financials'!E37+'Condensed Financials'!D37)/2</f>
        <v/>
      </c>
      <c r="F22" s="4">
        <f>('Condensed Financials'!F37+'Condensed Financials'!E37)/2</f>
        <v/>
      </c>
      <c r="G22" s="4">
        <f>('Condensed Financials'!G37+'Condensed Financials'!F37)/2</f>
        <v/>
      </c>
      <c r="H22" s="4">
        <f>('Condensed Financials'!H37+'Condensed Financials'!G37)/2</f>
        <v/>
      </c>
      <c r="I22" s="4">
        <f>('Condensed Financials'!I37+'Condensed Financials'!H37)/2</f>
        <v/>
      </c>
      <c r="J22" s="4">
        <f>('Condensed Financials'!J37+'Condensed Financials'!I37)/2</f>
        <v/>
      </c>
      <c r="K22" s="4">
        <f>('Condensed Financials'!K37+'Condensed Financials'!J37)/2</f>
        <v/>
      </c>
    </row>
    <row r="23">
      <c r="A23" t="inlineStr">
        <is>
          <t>After-tax Cost of Debt</t>
        </is>
      </c>
      <c r="B23" t="inlineStr">
        <is>
          <t>n/a</t>
        </is>
      </c>
      <c r="C23" s="25">
        <f>IFERROR(C10/C22,0)</f>
        <v/>
      </c>
      <c r="D23" s="25">
        <f>IFERROR(D10/D22,0)</f>
        <v/>
      </c>
      <c r="E23" s="25">
        <f>IFERROR(E10/E22,0)</f>
        <v/>
      </c>
      <c r="F23" s="25">
        <f>IFERROR(F10/F22,0)</f>
        <v/>
      </c>
      <c r="G23" s="25">
        <f>IFERROR(G10/G22,0)</f>
        <v/>
      </c>
      <c r="H23" s="25">
        <f>IFERROR(H10/H22,0)</f>
        <v/>
      </c>
      <c r="I23" s="25">
        <f>IFERROR(I10/I22,0)</f>
        <v/>
      </c>
      <c r="J23" s="25">
        <f>IFERROR(J10/J22,0)</f>
        <v/>
      </c>
      <c r="K23" s="25">
        <f>IFERROR(K10/K22,0)</f>
        <v/>
      </c>
    </row>
    <row r="24">
      <c r="A24" t="inlineStr">
        <is>
          <t>Spread (RNOA - Cost of Debt)</t>
        </is>
      </c>
      <c r="B24" t="inlineStr">
        <is>
          <t>n/a</t>
        </is>
      </c>
      <c r="C24" s="1">
        <f>C20-C23</f>
        <v/>
      </c>
      <c r="D24" s="1">
        <f>D20-D23</f>
        <v/>
      </c>
      <c r="E24" s="1">
        <f>E20-E23</f>
        <v/>
      </c>
      <c r="F24" s="1">
        <f>F20-F23</f>
        <v/>
      </c>
      <c r="G24" s="1">
        <f>G20-G23</f>
        <v/>
      </c>
      <c r="H24" s="1">
        <f>H20-H23</f>
        <v/>
      </c>
      <c r="I24" s="1">
        <f>I20-I23</f>
        <v/>
      </c>
      <c r="J24" s="1">
        <f>J20-J23</f>
        <v/>
      </c>
      <c r="K24" s="1">
        <f>K20-K23</f>
        <v/>
      </c>
    </row>
    <row r="25">
      <c r="A25" t="inlineStr">
        <is>
          <t>Avg Equity</t>
        </is>
      </c>
      <c r="B25" t="inlineStr">
        <is>
          <t>n/a</t>
        </is>
      </c>
      <c r="C25" s="4">
        <f>('Condensed Financials'!C40+'Condensed Financials'!B40)/2</f>
        <v/>
      </c>
      <c r="D25" s="4">
        <f>('Condensed Financials'!D40+'Condensed Financials'!C40)/2</f>
        <v/>
      </c>
      <c r="E25" s="4">
        <f>('Condensed Financials'!E40+'Condensed Financials'!D40)/2</f>
        <v/>
      </c>
      <c r="F25" s="4">
        <f>('Condensed Financials'!F40+'Condensed Financials'!E40)/2</f>
        <v/>
      </c>
      <c r="G25" s="4">
        <f>('Condensed Financials'!G40+'Condensed Financials'!F40)/2</f>
        <v/>
      </c>
      <c r="H25" s="4">
        <f>('Condensed Financials'!H40+'Condensed Financials'!G40)/2</f>
        <v/>
      </c>
      <c r="I25" s="4">
        <f>('Condensed Financials'!I40+'Condensed Financials'!H40)/2</f>
        <v/>
      </c>
      <c r="J25" s="4">
        <f>('Condensed Financials'!J40+'Condensed Financials'!I40)/2</f>
        <v/>
      </c>
      <c r="K25" s="4">
        <f>('Condensed Financials'!K40+'Condensed Financials'!J40)/2</f>
        <v/>
      </c>
    </row>
    <row r="26">
      <c r="A26" t="inlineStr">
        <is>
          <t>Net Financial Leverage (Avg ND / Avg Eq)</t>
        </is>
      </c>
      <c r="B26" t="inlineStr">
        <is>
          <t>n/a</t>
        </is>
      </c>
      <c r="C26" s="3">
        <f>IFERROR(C22/C25,0)</f>
        <v/>
      </c>
      <c r="D26" s="3">
        <f>IFERROR(D22/D25,0)</f>
        <v/>
      </c>
      <c r="E26" s="3">
        <f>IFERROR(E22/E25,0)</f>
        <v/>
      </c>
      <c r="F26" s="3">
        <f>IFERROR(F22/F25,0)</f>
        <v/>
      </c>
      <c r="G26" s="3">
        <f>IFERROR(G22/G25,0)</f>
        <v/>
      </c>
      <c r="H26" s="3">
        <f>IFERROR(H22/H25,0)</f>
        <v/>
      </c>
      <c r="I26" s="3">
        <f>IFERROR(I22/I25,0)</f>
        <v/>
      </c>
      <c r="J26" s="3">
        <f>IFERROR(J22/J25,0)</f>
        <v/>
      </c>
      <c r="K26" s="3">
        <f>IFERROR(K22/K25,0)</f>
        <v/>
      </c>
    </row>
    <row r="27">
      <c r="A27" t="inlineStr">
        <is>
          <t>Financial Leverage Gain (Spread × FLEV)</t>
        </is>
      </c>
      <c r="B27" t="inlineStr">
        <is>
          <t>n/a</t>
        </is>
      </c>
      <c r="C27" s="1">
        <f>C24*C26</f>
        <v/>
      </c>
      <c r="D27" s="1">
        <f>D24*D26</f>
        <v/>
      </c>
      <c r="E27" s="1">
        <f>E24*E26</f>
        <v/>
      </c>
      <c r="F27" s="1">
        <f>F24*F26</f>
        <v/>
      </c>
      <c r="G27" s="1">
        <f>G24*G26</f>
        <v/>
      </c>
      <c r="H27" s="1">
        <f>H24*H26</f>
        <v/>
      </c>
      <c r="I27" s="1">
        <f>I24*I26</f>
        <v/>
      </c>
      <c r="J27" s="1">
        <f>J24*J26</f>
        <v/>
      </c>
      <c r="K27" s="1">
        <f>K24*K26</f>
        <v/>
      </c>
    </row>
    <row r="28"/>
    <row r="29">
      <c r="A29" s="8" t="inlineStr">
        <is>
          <t>ROE (Decomposed) = RNOA + Fin Lev Gain</t>
        </is>
      </c>
      <c r="B29" t="inlineStr">
        <is>
          <t>n/a</t>
        </is>
      </c>
      <c r="C29" s="1">
        <f>C20+C27</f>
        <v/>
      </c>
      <c r="D29" s="1">
        <f>D20+D27</f>
        <v/>
      </c>
      <c r="E29" s="1">
        <f>E20+E27</f>
        <v/>
      </c>
      <c r="F29" s="1">
        <f>F20+F27</f>
        <v/>
      </c>
      <c r="G29" s="1">
        <f>G20+G27</f>
        <v/>
      </c>
      <c r="H29" s="1">
        <f>H20+H27</f>
        <v/>
      </c>
      <c r="I29" s="1">
        <f>I20+I27</f>
        <v/>
      </c>
      <c r="J29" s="1">
        <f>J20+J27</f>
        <v/>
      </c>
      <c r="K29" s="1">
        <f>K20+K27</f>
        <v/>
      </c>
    </row>
    <row r="30">
      <c r="A30" s="8" t="inlineStr">
        <is>
          <t>Actual ROE (NI / Avg Equity)</t>
        </is>
      </c>
      <c r="B30" t="inlineStr">
        <is>
          <t>n/a</t>
        </is>
      </c>
      <c r="C30" s="1">
        <f>IFERROR(C9/C25,0)</f>
        <v/>
      </c>
      <c r="D30" s="1">
        <f>IFERROR(D9/D25,0)</f>
        <v/>
      </c>
      <c r="E30" s="1">
        <f>IFERROR(E9/E25,0)</f>
        <v/>
      </c>
      <c r="F30" s="1">
        <f>IFERROR(F9/F25,0)</f>
        <v/>
      </c>
      <c r="G30" s="1">
        <f>IFERROR(G9/G25,0)</f>
        <v/>
      </c>
      <c r="H30" s="1">
        <f>IFERROR(H9/H25,0)</f>
        <v/>
      </c>
      <c r="I30" s="1">
        <f>IFERROR(I9/I25,0)</f>
        <v/>
      </c>
      <c r="J30" s="1">
        <f>IFERROR(J9/J25,0)</f>
        <v/>
      </c>
      <c r="K30" s="1">
        <f>IFERROR(K9/K25,0)</f>
        <v/>
      </c>
    </row>
    <row r="31">
      <c r="A31" t="inlineStr">
        <is>
          <t>CHECK: |Decomp - Actual| &lt; 0.1%</t>
        </is>
      </c>
      <c r="B31" t="inlineStr">
        <is>
          <t>n/a</t>
        </is>
      </c>
      <c r="C31">
        <f>IF(ABS(C29-C30)&lt;0.001,"OK","CHECK")</f>
        <v/>
      </c>
      <c r="D31">
        <f>IF(ABS(D29-D30)&lt;0.001,"OK","CHECK")</f>
        <v/>
      </c>
      <c r="E31">
        <f>IF(ABS(E29-E30)&lt;0.001,"OK","CHECK")</f>
        <v/>
      </c>
      <c r="F31">
        <f>IF(ABS(F29-F30)&lt;0.001,"OK","CHECK")</f>
        <v/>
      </c>
      <c r="G31">
        <f>IF(ABS(G29-G30)&lt;0.001,"OK","CHECK")</f>
        <v/>
      </c>
      <c r="H31">
        <f>IF(ABS(H29-H30)&lt;0.001,"OK","CHECK")</f>
        <v/>
      </c>
      <c r="I31">
        <f>IF(ABS(I29-I30)&lt;0.001,"OK","CHECK")</f>
        <v/>
      </c>
      <c r="J31">
        <f>IF(ABS(J29-J30)&lt;0.001,"OK","CHECK")</f>
        <v/>
      </c>
      <c r="K31">
        <f>IF(ABS(K29-K30)&lt;0.001,"OK","CHECK")</f>
        <v/>
      </c>
    </row>
    <row r="32"/>
    <row r="33">
      <c r="A33" s="43" t="inlineStr">
        <is>
          <t>QUARTERLY DUPONT (FLOWS ANNUALIZED ×4)</t>
        </is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</row>
    <row r="34">
      <c r="A34" s="11" t="inlineStr">
        <is>
          <t>Quarterly NOPAT/NIAT/NI are annualized (×4) against average positions; Sales Growth is QoQ (not seasonally adjusted). The first quarter column's averages use the FY2023 annual Condensed column (I) as the prior period.</t>
        </is>
      </c>
    </row>
    <row r="35"/>
    <row r="36">
      <c r="B36" s="45" t="inlineStr">
        <is>
          <t>Q1 2024</t>
        </is>
      </c>
      <c r="C36" s="45" t="inlineStr">
        <is>
          <t>Q2 2024</t>
        </is>
      </c>
      <c r="D36" s="45" t="inlineStr">
        <is>
          <t>Q3 2024</t>
        </is>
      </c>
      <c r="E36" s="45" t="inlineStr">
        <is>
          <t>Q4 2024</t>
        </is>
      </c>
      <c r="F36" s="45" t="inlineStr">
        <is>
          <t>Q1 2025</t>
        </is>
      </c>
      <c r="G36" s="45" t="inlineStr">
        <is>
          <t>Q2 2025</t>
        </is>
      </c>
      <c r="H36" s="45" t="inlineStr">
        <is>
          <t>Q3 2025</t>
        </is>
      </c>
      <c r="I36" s="45" t="inlineStr">
        <is>
          <t>Q4 2025</t>
        </is>
      </c>
      <c r="J36" s="45" t="inlineStr">
        <is>
          <t>Q1 2026</t>
        </is>
      </c>
    </row>
    <row r="37">
      <c r="A37" s="8" t="inlineStr">
        <is>
          <t>Line Item</t>
        </is>
      </c>
      <c r="B37" s="9">
        <f>'Income Statement'!B32</f>
        <v/>
      </c>
      <c r="C37" s="9">
        <f>'Income Statement'!C32</f>
        <v/>
      </c>
      <c r="D37" s="9">
        <f>'Income Statement'!D32</f>
        <v/>
      </c>
      <c r="E37" s="9">
        <f>'Income Statement'!E32</f>
        <v/>
      </c>
      <c r="F37" s="9">
        <f>'Income Statement'!F32</f>
        <v/>
      </c>
      <c r="G37" s="9">
        <f>'Income Statement'!G32</f>
        <v/>
      </c>
      <c r="H37" s="9">
        <f>'Income Statement'!H32</f>
        <v/>
      </c>
      <c r="I37" s="9">
        <f>'Income Statement'!I32</f>
        <v/>
      </c>
      <c r="J37" s="9">
        <f>'Income Statement'!J32</f>
        <v/>
      </c>
    </row>
    <row r="38">
      <c r="A38" t="inlineStr">
        <is>
          <t>Sales Growth (QoQ)</t>
        </is>
      </c>
      <c r="B38" s="47" t="inlineStr">
        <is>
          <t>n/a</t>
        </is>
      </c>
      <c r="C38" s="1">
        <f>'Income Statement'!C34/'Income Statement'!B34-1</f>
        <v/>
      </c>
      <c r="D38" s="1">
        <f>'Income Statement'!D34/'Income Statement'!C34-1</f>
        <v/>
      </c>
      <c r="E38" s="1">
        <f>'Income Statement'!E34/'Income Statement'!D34-1</f>
        <v/>
      </c>
      <c r="F38" s="1">
        <f>'Income Statement'!F34/'Income Statement'!E34-1</f>
        <v/>
      </c>
      <c r="G38" s="1">
        <f>'Income Statement'!G34/'Income Statement'!F34-1</f>
        <v/>
      </c>
      <c r="H38" s="1">
        <f>'Income Statement'!H34/'Income Statement'!G34-1</f>
        <v/>
      </c>
      <c r="I38" s="1">
        <f>'Income Statement'!I34/'Income Statement'!H34-1</f>
        <v/>
      </c>
      <c r="J38" s="1">
        <f>'Income Statement'!J34/'Income Statement'!I34-1</f>
        <v/>
      </c>
    </row>
    <row r="39">
      <c r="A39" t="inlineStr">
        <is>
          <t>NOPAT Margin (quarter)</t>
        </is>
      </c>
      <c r="B39" s="1">
        <f>'Condensed Financials'!B94/'Income Statement'!B34</f>
        <v/>
      </c>
      <c r="C39" s="1">
        <f>'Condensed Financials'!C94/'Income Statement'!C34</f>
        <v/>
      </c>
      <c r="D39" s="1">
        <f>'Condensed Financials'!D94/'Income Statement'!D34</f>
        <v/>
      </c>
      <c r="E39" s="1">
        <f>'Condensed Financials'!E94/'Income Statement'!E34</f>
        <v/>
      </c>
      <c r="F39" s="1">
        <f>'Condensed Financials'!F94/'Income Statement'!F34</f>
        <v/>
      </c>
      <c r="G39" s="1">
        <f>'Condensed Financials'!G94/'Income Statement'!G34</f>
        <v/>
      </c>
      <c r="H39" s="1">
        <f>'Condensed Financials'!H94/'Income Statement'!H34</f>
        <v/>
      </c>
      <c r="I39" s="1">
        <f>'Condensed Financials'!I94/'Income Statement'!I34</f>
        <v/>
      </c>
      <c r="J39" s="1">
        <f>'Condensed Financials'!J94/'Income Statement'!J34</f>
        <v/>
      </c>
    </row>
    <row r="40">
      <c r="A40" t="inlineStr">
        <is>
          <t>Avg NOA</t>
        </is>
      </c>
      <c r="B40" s="4">
        <f>('Condensed Financials'!B103+'Condensed Financials'!I33)/2</f>
        <v/>
      </c>
      <c r="C40" s="4">
        <f>('Condensed Financials'!C103+'Condensed Financials'!B103)/2</f>
        <v/>
      </c>
      <c r="D40" s="4">
        <f>('Condensed Financials'!D103+'Condensed Financials'!C103)/2</f>
        <v/>
      </c>
      <c r="E40" s="4">
        <f>('Condensed Financials'!E103+'Condensed Financials'!D103)/2</f>
        <v/>
      </c>
      <c r="F40" s="4">
        <f>('Condensed Financials'!F103+'Condensed Financials'!E103)/2</f>
        <v/>
      </c>
      <c r="G40" s="4">
        <f>('Condensed Financials'!G103+'Condensed Financials'!F103)/2</f>
        <v/>
      </c>
      <c r="H40" s="4">
        <f>('Condensed Financials'!H103+'Condensed Financials'!G103)/2</f>
        <v/>
      </c>
      <c r="I40" s="4">
        <f>('Condensed Financials'!I103+'Condensed Financials'!H103)/2</f>
        <v/>
      </c>
      <c r="J40" s="4">
        <f>('Condensed Financials'!J103+'Condensed Financials'!I103)/2</f>
        <v/>
      </c>
    </row>
    <row r="41">
      <c r="A41" t="inlineStr">
        <is>
          <t>Asset Turnover (annualized)</t>
        </is>
      </c>
      <c r="B41" s="3">
        <f>'Income Statement'!B34*4/B40</f>
        <v/>
      </c>
      <c r="C41" s="3">
        <f>'Income Statement'!C34*4/C40</f>
        <v/>
      </c>
      <c r="D41" s="3">
        <f>'Income Statement'!D34*4/D40</f>
        <v/>
      </c>
      <c r="E41" s="3">
        <f>'Income Statement'!E34*4/E40</f>
        <v/>
      </c>
      <c r="F41" s="3">
        <f>'Income Statement'!F34*4/F40</f>
        <v/>
      </c>
      <c r="G41" s="3">
        <f>'Income Statement'!G34*4/G40</f>
        <v/>
      </c>
      <c r="H41" s="3">
        <f>'Income Statement'!H34*4/H40</f>
        <v/>
      </c>
      <c r="I41" s="3">
        <f>'Income Statement'!I34*4/I40</f>
        <v/>
      </c>
      <c r="J41" s="3">
        <f>'Income Statement'!J34*4/J40</f>
        <v/>
      </c>
    </row>
    <row r="42">
      <c r="A42" s="8" t="inlineStr">
        <is>
          <t>RNOA (annualized)</t>
        </is>
      </c>
      <c r="B42" s="1">
        <f>B39*B41</f>
        <v/>
      </c>
      <c r="C42" s="1">
        <f>C39*C41</f>
        <v/>
      </c>
      <c r="D42" s="1">
        <f>D39*D41</f>
        <v/>
      </c>
      <c r="E42" s="1">
        <f>E39*E41</f>
        <v/>
      </c>
      <c r="F42" s="1">
        <f>F39*F41</f>
        <v/>
      </c>
      <c r="G42" s="1">
        <f>G39*G41</f>
        <v/>
      </c>
      <c r="H42" s="1">
        <f>H39*H41</f>
        <v/>
      </c>
      <c r="I42" s="1">
        <f>I39*I41</f>
        <v/>
      </c>
      <c r="J42" s="1">
        <f>J39*J41</f>
        <v/>
      </c>
    </row>
    <row r="43">
      <c r="A43" t="inlineStr">
        <is>
          <t>Avg Net Debt</t>
        </is>
      </c>
      <c r="B43" s="4">
        <f>('Condensed Financials'!B106+'Condensed Financials'!I37)/2</f>
        <v/>
      </c>
      <c r="C43" s="4">
        <f>('Condensed Financials'!C106+'Condensed Financials'!B106)/2</f>
        <v/>
      </c>
      <c r="D43" s="4">
        <f>('Condensed Financials'!D106+'Condensed Financials'!C106)/2</f>
        <v/>
      </c>
      <c r="E43" s="4">
        <f>('Condensed Financials'!E106+'Condensed Financials'!D106)/2</f>
        <v/>
      </c>
      <c r="F43" s="4">
        <f>('Condensed Financials'!F106+'Condensed Financials'!E106)/2</f>
        <v/>
      </c>
      <c r="G43" s="4">
        <f>('Condensed Financials'!G106+'Condensed Financials'!F106)/2</f>
        <v/>
      </c>
      <c r="H43" s="4">
        <f>('Condensed Financials'!H106+'Condensed Financials'!G106)/2</f>
        <v/>
      </c>
      <c r="I43" s="4">
        <f>('Condensed Financials'!I106+'Condensed Financials'!H106)/2</f>
        <v/>
      </c>
      <c r="J43" s="4">
        <f>('Condensed Financials'!J106+'Condensed Financials'!I106)/2</f>
        <v/>
      </c>
    </row>
    <row r="44">
      <c r="A44" t="inlineStr">
        <is>
          <t>After-tax Cost of Debt (annualized)</t>
        </is>
      </c>
      <c r="B44" s="25">
        <f>IFERROR('Condensed Financials'!B93*4/B43,0)</f>
        <v/>
      </c>
      <c r="C44" s="25">
        <f>IFERROR('Condensed Financials'!C93*4/C43,0)</f>
        <v/>
      </c>
      <c r="D44" s="25">
        <f>IFERROR('Condensed Financials'!D93*4/D43,0)</f>
        <v/>
      </c>
      <c r="E44" s="25">
        <f>IFERROR('Condensed Financials'!E93*4/E43,0)</f>
        <v/>
      </c>
      <c r="F44" s="25">
        <f>IFERROR('Condensed Financials'!F93*4/F43,0)</f>
        <v/>
      </c>
      <c r="G44" s="25">
        <f>IFERROR('Condensed Financials'!G93*4/G43,0)</f>
        <v/>
      </c>
      <c r="H44" s="25">
        <f>IFERROR('Condensed Financials'!H93*4/H43,0)</f>
        <v/>
      </c>
      <c r="I44" s="25">
        <f>IFERROR('Condensed Financials'!I93*4/I43,0)</f>
        <v/>
      </c>
      <c r="J44" s="25">
        <f>IFERROR('Condensed Financials'!J93*4/J43,0)</f>
        <v/>
      </c>
    </row>
    <row r="45">
      <c r="A45" t="inlineStr">
        <is>
          <t>Spread (RNOA - Cost of Debt)</t>
        </is>
      </c>
      <c r="B45" s="1">
        <f>B42-B44</f>
        <v/>
      </c>
      <c r="C45" s="1">
        <f>C42-C44</f>
        <v/>
      </c>
      <c r="D45" s="1">
        <f>D42-D44</f>
        <v/>
      </c>
      <c r="E45" s="1">
        <f>E42-E44</f>
        <v/>
      </c>
      <c r="F45" s="1">
        <f>F42-F44</f>
        <v/>
      </c>
      <c r="G45" s="1">
        <f>G42-G44</f>
        <v/>
      </c>
      <c r="H45" s="1">
        <f>H42-H44</f>
        <v/>
      </c>
      <c r="I45" s="1">
        <f>I42-I44</f>
        <v/>
      </c>
      <c r="J45" s="1">
        <f>J42-J44</f>
        <v/>
      </c>
    </row>
    <row r="46">
      <c r="A46" t="inlineStr">
        <is>
          <t>Avg Equity</t>
        </is>
      </c>
      <c r="B46" s="4">
        <f>('Condensed Financials'!B107+'Condensed Financials'!I40)/2</f>
        <v/>
      </c>
      <c r="C46" s="4">
        <f>('Condensed Financials'!C107+'Condensed Financials'!B107)/2</f>
        <v/>
      </c>
      <c r="D46" s="4">
        <f>('Condensed Financials'!D107+'Condensed Financials'!C107)/2</f>
        <v/>
      </c>
      <c r="E46" s="4">
        <f>('Condensed Financials'!E107+'Condensed Financials'!D107)/2</f>
        <v/>
      </c>
      <c r="F46" s="4">
        <f>('Condensed Financials'!F107+'Condensed Financials'!E107)/2</f>
        <v/>
      </c>
      <c r="G46" s="4">
        <f>('Condensed Financials'!G107+'Condensed Financials'!F107)/2</f>
        <v/>
      </c>
      <c r="H46" s="4">
        <f>('Condensed Financials'!H107+'Condensed Financials'!G107)/2</f>
        <v/>
      </c>
      <c r="I46" s="4">
        <f>('Condensed Financials'!I107+'Condensed Financials'!H107)/2</f>
        <v/>
      </c>
      <c r="J46" s="4">
        <f>('Condensed Financials'!J107+'Condensed Financials'!I107)/2</f>
        <v/>
      </c>
    </row>
    <row r="47">
      <c r="A47" t="inlineStr">
        <is>
          <t>Net Financial Leverage (Avg ND / Avg Eq)</t>
        </is>
      </c>
      <c r="B47" s="3">
        <f>IFERROR(B43/B46,0)</f>
        <v/>
      </c>
      <c r="C47" s="3">
        <f>IFERROR(C43/C46,0)</f>
        <v/>
      </c>
      <c r="D47" s="3">
        <f>IFERROR(D43/D46,0)</f>
        <v/>
      </c>
      <c r="E47" s="3">
        <f>IFERROR(E43/E46,0)</f>
        <v/>
      </c>
      <c r="F47" s="3">
        <f>IFERROR(F43/F46,0)</f>
        <v/>
      </c>
      <c r="G47" s="3">
        <f>IFERROR(G43/G46,0)</f>
        <v/>
      </c>
      <c r="H47" s="3">
        <f>IFERROR(H43/H46,0)</f>
        <v/>
      </c>
      <c r="I47" s="3">
        <f>IFERROR(I43/I46,0)</f>
        <v/>
      </c>
      <c r="J47" s="3">
        <f>IFERROR(J43/J46,0)</f>
        <v/>
      </c>
    </row>
    <row r="48">
      <c r="A48" t="inlineStr">
        <is>
          <t>Financial Leverage Gain (Spread × FLEV)</t>
        </is>
      </c>
      <c r="B48" s="1">
        <f>B45*B47</f>
        <v/>
      </c>
      <c r="C48" s="1">
        <f>C45*C47</f>
        <v/>
      </c>
      <c r="D48" s="1">
        <f>D45*D47</f>
        <v/>
      </c>
      <c r="E48" s="1">
        <f>E45*E47</f>
        <v/>
      </c>
      <c r="F48" s="1">
        <f>F45*F47</f>
        <v/>
      </c>
      <c r="G48" s="1">
        <f>G45*G47</f>
        <v/>
      </c>
      <c r="H48" s="1">
        <f>H45*H47</f>
        <v/>
      </c>
      <c r="I48" s="1">
        <f>I45*I47</f>
        <v/>
      </c>
      <c r="J48" s="1">
        <f>J45*J47</f>
        <v/>
      </c>
    </row>
    <row r="49">
      <c r="A49" s="8" t="inlineStr">
        <is>
          <t>ROE (Decomposed, annualized)</t>
        </is>
      </c>
      <c r="B49" s="1">
        <f>B42+B48</f>
        <v/>
      </c>
      <c r="C49" s="1">
        <f>C42+C48</f>
        <v/>
      </c>
      <c r="D49" s="1">
        <f>D42+D48</f>
        <v/>
      </c>
      <c r="E49" s="1">
        <f>E42+E48</f>
        <v/>
      </c>
      <c r="F49" s="1">
        <f>F42+F48</f>
        <v/>
      </c>
      <c r="G49" s="1">
        <f>G42+G48</f>
        <v/>
      </c>
      <c r="H49" s="1">
        <f>H42+H48</f>
        <v/>
      </c>
      <c r="I49" s="1">
        <f>I42+I48</f>
        <v/>
      </c>
      <c r="J49" s="1">
        <f>J42+J48</f>
        <v/>
      </c>
    </row>
    <row r="50">
      <c r="A50" s="8" t="inlineStr">
        <is>
          <t>Actual ROE (NI ×4 / Avg Equity)</t>
        </is>
      </c>
      <c r="B50" s="1">
        <f>IFERROR('Condensed Financials'!B85*4/B46,0)</f>
        <v/>
      </c>
      <c r="C50" s="1">
        <f>IFERROR('Condensed Financials'!C85*4/C46,0)</f>
        <v/>
      </c>
      <c r="D50" s="1">
        <f>IFERROR('Condensed Financials'!D85*4/D46,0)</f>
        <v/>
      </c>
      <c r="E50" s="1">
        <f>IFERROR('Condensed Financials'!E85*4/E46,0)</f>
        <v/>
      </c>
      <c r="F50" s="1">
        <f>IFERROR('Condensed Financials'!F85*4/F46,0)</f>
        <v/>
      </c>
      <c r="G50" s="1">
        <f>IFERROR('Condensed Financials'!G85*4/G46,0)</f>
        <v/>
      </c>
      <c r="H50" s="1">
        <f>IFERROR('Condensed Financials'!H85*4/H46,0)</f>
        <v/>
      </c>
      <c r="I50" s="1">
        <f>IFERROR('Condensed Financials'!I85*4/I46,0)</f>
        <v/>
      </c>
      <c r="J50" s="1">
        <f>IFERROR('Condensed Financials'!J85*4/J46,0)</f>
        <v/>
      </c>
    </row>
    <row r="51">
      <c r="A51" t="inlineStr">
        <is>
          <t>CHECK: |Decomp - Actual| &lt; 0.1%</t>
        </is>
      </c>
      <c r="B51">
        <f>IF(ABS(B49-B50)&lt;0.001,"OK","CHECK")</f>
        <v/>
      </c>
      <c r="C51">
        <f>IF(ABS(C49-C50)&lt;0.001,"OK","CHECK")</f>
        <v/>
      </c>
      <c r="D51">
        <f>IF(ABS(D49-D50)&lt;0.001,"OK","CHECK")</f>
        <v/>
      </c>
      <c r="E51">
        <f>IF(ABS(E49-E50)&lt;0.001,"OK","CHECK")</f>
        <v/>
      </c>
      <c r="F51">
        <f>IF(ABS(F49-F50)&lt;0.001,"OK","CHECK")</f>
        <v/>
      </c>
      <c r="G51">
        <f>IF(ABS(G49-G50)&lt;0.001,"OK","CHECK")</f>
        <v/>
      </c>
      <c r="H51">
        <f>IF(ABS(H49-H50)&lt;0.001,"OK","CHECK")</f>
        <v/>
      </c>
      <c r="I51">
        <f>IF(ABS(I49-I50)&lt;0.001,"OK","CHECK")</f>
        <v/>
      </c>
      <c r="J51">
        <f>IF(ABS(J49-J50)&lt;0.001,"OK","CHECK")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2"/>
  <sheetViews>
    <sheetView zoomScale="180" zoomScaleNormal="180" workbookViewId="0">
      <pane xSplit="1" ySplit="5" topLeftCell="B23" activePane="bottomRight" state="frozen"/>
      <selection pane="topRight" activeCell="A1" sqref="A1"/>
      <selection pane="bottomLeft" activeCell="A1" sqref="A1"/>
      <selection pane="bottomRight" activeCell="J79" sqref="J79"/>
    </sheetView>
  </sheetViews>
  <sheetFormatPr baseColWidth="10" defaultColWidth="8.83203125" defaultRowHeight="15"/>
  <cols>
    <col width="46" customWidth="1" style="92" min="1" max="1"/>
    <col width="14" customWidth="1" style="92" min="2" max="11"/>
    <col width="64" customWidth="1" style="92" min="12" max="12"/>
  </cols>
  <sheetData>
    <row r="1">
      <c r="A1" s="53" t="inlineStr">
        <is>
          <t>Alphabet Inc. (GOOGL) — Earnings Quality</t>
        </is>
      </c>
    </row>
    <row r="2">
      <c r="A2" s="51" t="inlineStr">
        <is>
          <t>SCREENS, NOT VERDICTS: thresholds are calibrated on cross-sections; for a mega-cap a flag is a tripwire that demands explanation, not an accusation.</t>
        </is>
      </c>
    </row>
    <row r="3">
      <c r="A3" s="51" t="inlineStr">
        <is>
          <t>Accruals / M-Score / F-Score are live formulas over the source tabs; Benford rows are script-computed from each filing's FULL XBRL fact set (build_quality.py).</t>
        </is>
      </c>
    </row>
    <row r="4"/>
    <row r="5">
      <c r="A5" s="62" t="inlineStr">
        <is>
          <t>ANNUAL</t>
        </is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</row>
    <row r="6">
      <c r="A6" s="53" t="inlineStr">
        <is>
          <t>Line Item</t>
        </is>
      </c>
      <c r="B6" s="54">
        <f>'Income Statement'!B6</f>
        <v/>
      </c>
      <c r="C6" s="54">
        <f>'Income Statement'!C6</f>
        <v/>
      </c>
      <c r="D6" s="54">
        <f>'Income Statement'!D6</f>
        <v/>
      </c>
      <c r="E6" s="54">
        <f>'Income Statement'!E6</f>
        <v/>
      </c>
      <c r="F6" s="54">
        <f>'Income Statement'!F6</f>
        <v/>
      </c>
      <c r="G6" s="54">
        <f>'Income Statement'!G6</f>
        <v/>
      </c>
      <c r="H6" s="54">
        <f>'Income Statement'!H6</f>
        <v/>
      </c>
      <c r="I6" s="54">
        <f>'Income Statement'!I6</f>
        <v/>
      </c>
      <c r="J6" s="54">
        <f>'Income Statement'!J6</f>
        <v/>
      </c>
      <c r="K6" s="54">
        <f>'Income Statement'!K6</f>
        <v/>
      </c>
    </row>
    <row r="7"/>
    <row r="8">
      <c r="A8" s="52" t="inlineStr">
        <is>
          <t>A. ACCRUALS &amp; CASH CONVERSION</t>
        </is>
      </c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</row>
    <row r="9">
      <c r="A9" t="inlineStr">
        <is>
          <t>NOA (Condensed)</t>
        </is>
      </c>
      <c r="B9" s="4">
        <f>'Condensed Financials'!B33</f>
        <v/>
      </c>
      <c r="C9" s="4">
        <f>'Condensed Financials'!C33</f>
        <v/>
      </c>
      <c r="D9" s="4">
        <f>'Condensed Financials'!D33</f>
        <v/>
      </c>
      <c r="E9" s="4">
        <f>'Condensed Financials'!E33</f>
        <v/>
      </c>
      <c r="F9" s="4">
        <f>'Condensed Financials'!F33</f>
        <v/>
      </c>
      <c r="G9" s="4">
        <f>'Condensed Financials'!G33</f>
        <v/>
      </c>
      <c r="H9" s="4">
        <f>'Condensed Financials'!H33</f>
        <v/>
      </c>
      <c r="I9" s="4">
        <f>'Condensed Financials'!I33</f>
        <v/>
      </c>
      <c r="J9" s="4">
        <f>'Condensed Financials'!J33</f>
        <v/>
      </c>
      <c r="K9" s="4">
        <f>'Condensed Financials'!K33</f>
        <v/>
      </c>
    </row>
    <row r="10">
      <c r="A10" t="inlineStr">
        <is>
          <t>BS accruals = dNOA</t>
        </is>
      </c>
      <c r="B10" s="47" t="inlineStr">
        <is>
          <t>n/a</t>
        </is>
      </c>
      <c r="C10" s="4">
        <f>C9-B9</f>
        <v/>
      </c>
      <c r="D10" s="4">
        <f>D9-C9</f>
        <v/>
      </c>
      <c r="E10" s="4">
        <f>E9-D9</f>
        <v/>
      </c>
      <c r="F10" s="4">
        <f>F9-E9</f>
        <v/>
      </c>
      <c r="G10" s="4">
        <f>G9-F9</f>
        <v/>
      </c>
      <c r="H10" s="4">
        <f>H9-G9</f>
        <v/>
      </c>
      <c r="I10" s="4">
        <f>I9-H9</f>
        <v/>
      </c>
      <c r="J10" s="4">
        <f>J9-I9</f>
        <v/>
      </c>
      <c r="K10" s="4">
        <f>K9-J9</f>
        <v/>
      </c>
    </row>
    <row r="11">
      <c r="A11" t="inlineStr">
        <is>
          <t>Avg NOA</t>
        </is>
      </c>
      <c r="B11" s="47" t="inlineStr">
        <is>
          <t>n/a</t>
        </is>
      </c>
      <c r="C11" s="4">
        <f>(C9+B9)/2</f>
        <v/>
      </c>
      <c r="D11" s="4">
        <f>(D9+C9)/2</f>
        <v/>
      </c>
      <c r="E11" s="4">
        <f>(E9+D9)/2</f>
        <v/>
      </c>
      <c r="F11" s="4">
        <f>(F9+E9)/2</f>
        <v/>
      </c>
      <c r="G11" s="4">
        <f>(G9+F9)/2</f>
        <v/>
      </c>
      <c r="H11" s="4">
        <f>(H9+G9)/2</f>
        <v/>
      </c>
      <c r="I11" s="4">
        <f>(I9+H9)/2</f>
        <v/>
      </c>
      <c r="J11" s="4">
        <f>(J9+I9)/2</f>
        <v/>
      </c>
      <c r="K11" s="4">
        <f>(K9+J9)/2</f>
        <v/>
      </c>
    </row>
    <row r="12">
      <c r="A12" s="57" t="inlineStr">
        <is>
          <t>Scaled BS accruals (dNOA/avg NOA)</t>
        </is>
      </c>
      <c r="B12" s="63" t="inlineStr">
        <is>
          <t>n/a</t>
        </is>
      </c>
      <c r="C12" s="32">
        <f>C10/C11</f>
        <v/>
      </c>
      <c r="D12" s="32">
        <f>D10/D11</f>
        <v/>
      </c>
      <c r="E12" s="32">
        <f>E10/E11</f>
        <v/>
      </c>
      <c r="F12" s="32">
        <f>F10/F11</f>
        <v/>
      </c>
      <c r="G12" s="32">
        <f>G10/G11</f>
        <v/>
      </c>
      <c r="H12" s="32">
        <f>H10/H11</f>
        <v/>
      </c>
      <c r="I12" s="32">
        <f>I10/I11</f>
        <v/>
      </c>
      <c r="J12" s="32">
        <f>J10/J11</f>
        <v/>
      </c>
      <c r="K12" s="32">
        <f>K10/K11</f>
        <v/>
      </c>
      <c r="L12" s="51" t="inlineStr">
        <is>
          <t>High positive accruals with weak cash conversion = the classic earnings-quality red flag (Sloan 1996). GOOGL's NI carries large NON-cash unrealized securities gains (see Core Earnings Bridge) - they inflate income accruals mechanically</t>
        </is>
      </c>
    </row>
    <row r="13">
      <c r="A13" t="inlineStr">
        <is>
          <t>Net income</t>
        </is>
      </c>
      <c r="B13" s="4">
        <f>'Income Statement'!B19</f>
        <v/>
      </c>
      <c r="C13" s="4">
        <f>'Income Statement'!C19</f>
        <v/>
      </c>
      <c r="D13" s="4">
        <f>'Income Statement'!D19</f>
        <v/>
      </c>
      <c r="E13" s="4">
        <f>'Income Statement'!E19</f>
        <v/>
      </c>
      <c r="F13" s="4">
        <f>'Income Statement'!F19</f>
        <v/>
      </c>
      <c r="G13" s="4">
        <f>'Income Statement'!G19</f>
        <v/>
      </c>
      <c r="H13" s="4">
        <f>'Income Statement'!H19</f>
        <v/>
      </c>
      <c r="I13" s="4">
        <f>'Income Statement'!I19</f>
        <v/>
      </c>
      <c r="J13" s="4">
        <f>'Income Statement'!J19</f>
        <v/>
      </c>
      <c r="K13" s="4">
        <f>'Income Statement'!K19</f>
        <v/>
      </c>
    </row>
    <row r="14">
      <c r="A14" t="inlineStr">
        <is>
          <t>CFO</t>
        </is>
      </c>
      <c r="B14" s="4">
        <f>'Cash Flow Statement'!B26</f>
        <v/>
      </c>
      <c r="C14" s="4">
        <f>'Cash Flow Statement'!C26</f>
        <v/>
      </c>
      <c r="D14" s="4">
        <f>'Cash Flow Statement'!D26</f>
        <v/>
      </c>
      <c r="E14" s="4">
        <f>'Cash Flow Statement'!E26</f>
        <v/>
      </c>
      <c r="F14" s="4">
        <f>'Cash Flow Statement'!F26</f>
        <v/>
      </c>
      <c r="G14" s="4">
        <f>'Cash Flow Statement'!G26</f>
        <v/>
      </c>
      <c r="H14" s="4">
        <f>'Cash Flow Statement'!H26</f>
        <v/>
      </c>
      <c r="I14" s="4">
        <f>'Cash Flow Statement'!I26</f>
        <v/>
      </c>
      <c r="J14" s="4">
        <f>'Cash Flow Statement'!J26</f>
        <v/>
      </c>
      <c r="K14" s="4">
        <f>'Cash Flow Statement'!K26</f>
        <v/>
      </c>
    </row>
    <row r="15">
      <c r="A15" t="inlineStr">
        <is>
          <t>Income accruals = NI - CFO</t>
        </is>
      </c>
      <c r="B15" s="4">
        <f>B13-B14</f>
        <v/>
      </c>
      <c r="C15" s="4">
        <f>C13-C14</f>
        <v/>
      </c>
      <c r="D15" s="4">
        <f>D13-D14</f>
        <v/>
      </c>
      <c r="E15" s="4">
        <f>E13-E14</f>
        <v/>
      </c>
      <c r="F15" s="4">
        <f>F13-F14</f>
        <v/>
      </c>
      <c r="G15" s="4">
        <f>G13-G14</f>
        <v/>
      </c>
      <c r="H15" s="4">
        <f>H13-H14</f>
        <v/>
      </c>
      <c r="I15" s="4">
        <f>I13-I14</f>
        <v/>
      </c>
      <c r="J15" s="4">
        <f>J13-J14</f>
        <v/>
      </c>
      <c r="K15" s="4">
        <f>K13-K14</f>
        <v/>
      </c>
    </row>
    <row r="16">
      <c r="A16" s="57" t="inlineStr">
        <is>
          <t>Scaled income accruals ((NI-CFO)/avg NOA)</t>
        </is>
      </c>
      <c r="B16" s="63" t="inlineStr">
        <is>
          <t>n/a</t>
        </is>
      </c>
      <c r="C16" s="32">
        <f>C15/C11</f>
        <v/>
      </c>
      <c r="D16" s="32">
        <f>D15/D11</f>
        <v/>
      </c>
      <c r="E16" s="32">
        <f>E15/E11</f>
        <v/>
      </c>
      <c r="F16" s="32">
        <f>F15/F11</f>
        <v/>
      </c>
      <c r="G16" s="32">
        <f>G15/G11</f>
        <v/>
      </c>
      <c r="H16" s="32">
        <f>H15/H11</f>
        <v/>
      </c>
      <c r="I16" s="32">
        <f>I15/I11</f>
        <v/>
      </c>
      <c r="J16" s="32">
        <f>J15/J11</f>
        <v/>
      </c>
      <c r="K16" s="32">
        <f>K15/K11</f>
        <v/>
      </c>
    </row>
    <row r="17">
      <c r="A17" t="inlineStr">
        <is>
          <t>Cash conversion (CFO/NI)</t>
        </is>
      </c>
      <c r="B17" s="3">
        <f>IFERROR('Cash Flow Statement'!B26/'Income Statement'!B19,"n/m")</f>
        <v/>
      </c>
      <c r="C17" s="3">
        <f>IFERROR('Cash Flow Statement'!C26/'Income Statement'!C19,"n/m")</f>
        <v/>
      </c>
      <c r="D17" s="3">
        <f>IFERROR('Cash Flow Statement'!D26/'Income Statement'!D19,"n/m")</f>
        <v/>
      </c>
      <c r="E17" s="3">
        <f>IFERROR('Cash Flow Statement'!E26/'Income Statement'!E19,"n/m")</f>
        <v/>
      </c>
      <c r="F17" s="3">
        <f>IFERROR('Cash Flow Statement'!F26/'Income Statement'!F19,"n/m")</f>
        <v/>
      </c>
      <c r="G17" s="3">
        <f>IFERROR('Cash Flow Statement'!G26/'Income Statement'!G19,"n/m")</f>
        <v/>
      </c>
      <c r="H17" s="3">
        <f>IFERROR('Cash Flow Statement'!H26/'Income Statement'!H19,"n/m")</f>
        <v/>
      </c>
      <c r="I17" s="3">
        <f>IFERROR('Cash Flow Statement'!I26/'Income Statement'!I19,"n/m")</f>
        <v/>
      </c>
      <c r="J17" s="3">
        <f>IFERROR('Cash Flow Statement'!J26/'Income Statement'!J19,"n/m")</f>
        <v/>
      </c>
      <c r="K17" s="3">
        <f>IFERROR('Cash Flow Statement'!K26/'Income Statement'!K19,"n/m")</f>
        <v/>
      </c>
    </row>
    <row r="18"/>
    <row r="19">
      <c r="A19" s="52" t="inlineStr">
        <is>
          <t>B. BENEISH M-SCORE (8-variable, YoY)</t>
        </is>
      </c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</row>
    <row r="20">
      <c r="A20" t="inlineStr">
        <is>
          <t>DSRI (receivables/sales index)</t>
        </is>
      </c>
      <c r="B20" s="47" t="inlineStr">
        <is>
          <t>n/a</t>
        </is>
      </c>
      <c r="C20" s="3">
        <f>IFERROR(('Balance Sheet'!C10/'Income Statement'!C7)/('Balance Sheet'!B10/'Income Statement'!B7),"n/m")</f>
        <v/>
      </c>
      <c r="D20" s="3">
        <f>IFERROR(('Balance Sheet'!D10/'Income Statement'!D7)/('Balance Sheet'!C10/'Income Statement'!C7),"n/m")</f>
        <v/>
      </c>
      <c r="E20" s="3">
        <f>IFERROR(('Balance Sheet'!E10/'Income Statement'!E7)/('Balance Sheet'!D10/'Income Statement'!D7),"n/m")</f>
        <v/>
      </c>
      <c r="F20" s="3">
        <f>IFERROR(('Balance Sheet'!F10/'Income Statement'!F7)/('Balance Sheet'!E10/'Income Statement'!E7),"n/m")</f>
        <v/>
      </c>
      <c r="G20" s="3">
        <f>IFERROR(('Balance Sheet'!G10/'Income Statement'!G7)/('Balance Sheet'!F10/'Income Statement'!F7),"n/m")</f>
        <v/>
      </c>
      <c r="H20" s="3">
        <f>IFERROR(('Balance Sheet'!H10/'Income Statement'!H7)/('Balance Sheet'!G10/'Income Statement'!G7),"n/m")</f>
        <v/>
      </c>
      <c r="I20" s="3">
        <f>IFERROR(('Balance Sheet'!I10/'Income Statement'!I7)/('Balance Sheet'!H10/'Income Statement'!H7),"n/m")</f>
        <v/>
      </c>
      <c r="J20" s="3">
        <f>IFERROR(('Balance Sheet'!J10/'Income Statement'!J7)/('Balance Sheet'!I10/'Income Statement'!I7),"n/m")</f>
        <v/>
      </c>
      <c r="K20" s="3">
        <f>IFERROR(('Balance Sheet'!K10/'Income Statement'!K7)/('Balance Sheet'!J10/'Income Statement'!J7),"n/m")</f>
        <v/>
      </c>
    </row>
    <row r="21">
      <c r="A21" t="inlineStr">
        <is>
          <t>GMI (gross margin index)</t>
        </is>
      </c>
      <c r="B21" s="47" t="inlineStr">
        <is>
          <t>n/a</t>
        </is>
      </c>
      <c r="C21" s="3">
        <f>IFERROR(('Income Statement'!B9/'Income Statement'!B7)/('Income Statement'!C9/'Income Statement'!C7),"n/m")</f>
        <v/>
      </c>
      <c r="D21" s="3">
        <f>IFERROR(('Income Statement'!C9/'Income Statement'!C7)/('Income Statement'!D9/'Income Statement'!D7),"n/m")</f>
        <v/>
      </c>
      <c r="E21" s="3">
        <f>IFERROR(('Income Statement'!D9/'Income Statement'!D7)/('Income Statement'!E9/'Income Statement'!E7),"n/m")</f>
        <v/>
      </c>
      <c r="F21" s="3">
        <f>IFERROR(('Income Statement'!E9/'Income Statement'!E7)/('Income Statement'!F9/'Income Statement'!F7),"n/m")</f>
        <v/>
      </c>
      <c r="G21" s="3">
        <f>IFERROR(('Income Statement'!F9/'Income Statement'!F7)/('Income Statement'!G9/'Income Statement'!G7),"n/m")</f>
        <v/>
      </c>
      <c r="H21" s="3">
        <f>IFERROR(('Income Statement'!G9/'Income Statement'!G7)/('Income Statement'!H9/'Income Statement'!H7),"n/m")</f>
        <v/>
      </c>
      <c r="I21" s="3">
        <f>IFERROR(('Income Statement'!H9/'Income Statement'!H7)/('Income Statement'!I9/'Income Statement'!I7),"n/m")</f>
        <v/>
      </c>
      <c r="J21" s="3">
        <f>IFERROR(('Income Statement'!I9/'Income Statement'!I7)/('Income Statement'!J9/'Income Statement'!J7),"n/m")</f>
        <v/>
      </c>
      <c r="K21" s="3">
        <f>IFERROR(('Income Statement'!J9/'Income Statement'!J7)/('Income Statement'!K9/'Income Statement'!K7),"n/m")</f>
        <v/>
      </c>
    </row>
    <row r="22">
      <c r="A22" t="inlineStr">
        <is>
          <t>AQI (asset quality index)</t>
        </is>
      </c>
      <c r="B22" s="47" t="inlineStr">
        <is>
          <t>n/a</t>
        </is>
      </c>
      <c r="C22" s="3">
        <f>IFERROR((1-('Balance Sheet'!C14+'Balance Sheet'!C19)/'Balance Sheet'!C24)/(1-('Balance Sheet'!B14+'Balance Sheet'!B19)/'Balance Sheet'!B24),"n/m")</f>
        <v/>
      </c>
      <c r="D22" s="3">
        <f>IFERROR((1-('Balance Sheet'!D14+'Balance Sheet'!D19)/'Balance Sheet'!D24)/(1-('Balance Sheet'!C14+'Balance Sheet'!C19)/'Balance Sheet'!C24),"n/m")</f>
        <v/>
      </c>
      <c r="E22" s="3">
        <f>IFERROR((1-('Balance Sheet'!E14+'Balance Sheet'!E19)/'Balance Sheet'!E24)/(1-('Balance Sheet'!D14+'Balance Sheet'!D19)/'Balance Sheet'!D24),"n/m")</f>
        <v/>
      </c>
      <c r="F22" s="3">
        <f>IFERROR((1-('Balance Sheet'!F14+'Balance Sheet'!F19)/'Balance Sheet'!F24)/(1-('Balance Sheet'!E14+'Balance Sheet'!E19)/'Balance Sheet'!E24),"n/m")</f>
        <v/>
      </c>
      <c r="G22" s="3">
        <f>IFERROR((1-('Balance Sheet'!G14+'Balance Sheet'!G19)/'Balance Sheet'!G24)/(1-('Balance Sheet'!F14+'Balance Sheet'!F19)/'Balance Sheet'!F24),"n/m")</f>
        <v/>
      </c>
      <c r="H22" s="3">
        <f>IFERROR((1-('Balance Sheet'!H14+'Balance Sheet'!H19)/'Balance Sheet'!H24)/(1-('Balance Sheet'!G14+'Balance Sheet'!G19)/'Balance Sheet'!G24),"n/m")</f>
        <v/>
      </c>
      <c r="I22" s="3">
        <f>IFERROR((1-('Balance Sheet'!I14+'Balance Sheet'!I19)/'Balance Sheet'!I24)/(1-('Balance Sheet'!H14+'Balance Sheet'!H19)/'Balance Sheet'!H24),"n/m")</f>
        <v/>
      </c>
      <c r="J22" s="3">
        <f>IFERROR((1-('Balance Sheet'!J14+'Balance Sheet'!J19)/'Balance Sheet'!J24)/(1-('Balance Sheet'!I14+'Balance Sheet'!I19)/'Balance Sheet'!I24),"n/m")</f>
        <v/>
      </c>
      <c r="K22" s="3">
        <f>IFERROR((1-('Balance Sheet'!K14+'Balance Sheet'!K19)/'Balance Sheet'!K24)/(1-('Balance Sheet'!J14+'Balance Sheet'!J19)/'Balance Sheet'!J24),"n/m")</f>
        <v/>
      </c>
    </row>
    <row r="23">
      <c r="A23" t="inlineStr">
        <is>
          <t>SGI (sales growth index)</t>
        </is>
      </c>
      <c r="B23" s="47" t="inlineStr">
        <is>
          <t>n/a</t>
        </is>
      </c>
      <c r="C23" s="3">
        <f>'Income Statement'!C7/'Income Statement'!B7</f>
        <v/>
      </c>
      <c r="D23" s="3">
        <f>'Income Statement'!D7/'Income Statement'!C7</f>
        <v/>
      </c>
      <c r="E23" s="3">
        <f>'Income Statement'!E7/'Income Statement'!D7</f>
        <v/>
      </c>
      <c r="F23" s="3">
        <f>'Income Statement'!F7/'Income Statement'!E7</f>
        <v/>
      </c>
      <c r="G23" s="3">
        <f>'Income Statement'!G7/'Income Statement'!F7</f>
        <v/>
      </c>
      <c r="H23" s="3">
        <f>'Income Statement'!H7/'Income Statement'!G7</f>
        <v/>
      </c>
      <c r="I23" s="3">
        <f>'Income Statement'!I7/'Income Statement'!H7</f>
        <v/>
      </c>
      <c r="J23" s="3">
        <f>'Income Statement'!J7/'Income Statement'!I7</f>
        <v/>
      </c>
      <c r="K23" s="3">
        <f>'Income Statement'!K7/'Income Statement'!J7</f>
        <v/>
      </c>
    </row>
    <row r="24">
      <c r="A24" t="inlineStr">
        <is>
          <t>DEPI (depreciation rate index)</t>
        </is>
      </c>
      <c r="B24" s="47" t="inlineStr">
        <is>
          <t>n/a</t>
        </is>
      </c>
      <c r="C24" s="3">
        <f>IFERROR(((N('Cash Flow Statement'!B10)+N('Cash Flow Statement'!B11)+N('Cash Flow Statement'!B12))/((N('Cash Flow Statement'!B10)+N('Cash Flow Statement'!B11)+N('Cash Flow Statement'!B12))+'Balance Sheet'!B19))/((N('Cash Flow Statement'!C10)+N('Cash Flow Statement'!C11)+N('Cash Flow Statement'!C12))/((N('Cash Flow Statement'!C10)+N('Cash Flow Statement'!C11)+N('Cash Flow Statement'!C12))+'Balance Sheet'!C19)),"n/m")</f>
        <v/>
      </c>
      <c r="D24" s="3">
        <f>IFERROR(((N('Cash Flow Statement'!C10)+N('Cash Flow Statement'!C11)+N('Cash Flow Statement'!C12))/((N('Cash Flow Statement'!C10)+N('Cash Flow Statement'!C11)+N('Cash Flow Statement'!C12))+'Balance Sheet'!C19))/((N('Cash Flow Statement'!D10)+N('Cash Flow Statement'!D11)+N('Cash Flow Statement'!D12))/((N('Cash Flow Statement'!D10)+N('Cash Flow Statement'!D11)+N('Cash Flow Statement'!D12))+'Balance Sheet'!D19)),"n/m")</f>
        <v/>
      </c>
      <c r="E24" s="3">
        <f>IFERROR(((N('Cash Flow Statement'!D10)+N('Cash Flow Statement'!D11)+N('Cash Flow Statement'!D12))/((N('Cash Flow Statement'!D10)+N('Cash Flow Statement'!D11)+N('Cash Flow Statement'!D12))+'Balance Sheet'!D19))/((N('Cash Flow Statement'!E10)+N('Cash Flow Statement'!E11)+N('Cash Flow Statement'!E12))/((N('Cash Flow Statement'!E10)+N('Cash Flow Statement'!E11)+N('Cash Flow Statement'!E12))+'Balance Sheet'!E19)),"n/m")</f>
        <v/>
      </c>
      <c r="F24" s="3">
        <f>IFERROR(((N('Cash Flow Statement'!E10)+N('Cash Flow Statement'!E11)+N('Cash Flow Statement'!E12))/((N('Cash Flow Statement'!E10)+N('Cash Flow Statement'!E11)+N('Cash Flow Statement'!E12))+'Balance Sheet'!E19))/((N('Cash Flow Statement'!F10)+N('Cash Flow Statement'!F11)+N('Cash Flow Statement'!F12))/((N('Cash Flow Statement'!F10)+N('Cash Flow Statement'!F11)+N('Cash Flow Statement'!F12))+'Balance Sheet'!F19)),"n/m")</f>
        <v/>
      </c>
      <c r="G24" s="3">
        <f>IFERROR(((N('Cash Flow Statement'!F10)+N('Cash Flow Statement'!F11)+N('Cash Flow Statement'!F12))/((N('Cash Flow Statement'!F10)+N('Cash Flow Statement'!F11)+N('Cash Flow Statement'!F12))+'Balance Sheet'!F19))/((N('Cash Flow Statement'!G10)+N('Cash Flow Statement'!G11)+N('Cash Flow Statement'!G12))/((N('Cash Flow Statement'!G10)+N('Cash Flow Statement'!G11)+N('Cash Flow Statement'!G12))+'Balance Sheet'!G19)),"n/m")</f>
        <v/>
      </c>
      <c r="H24" s="3">
        <f>IFERROR(((N('Cash Flow Statement'!G10)+N('Cash Flow Statement'!G11)+N('Cash Flow Statement'!G12))/((N('Cash Flow Statement'!G10)+N('Cash Flow Statement'!G11)+N('Cash Flow Statement'!G12))+'Balance Sheet'!G19))/((N('Cash Flow Statement'!H10)+N('Cash Flow Statement'!H11)+N('Cash Flow Statement'!H12))/((N('Cash Flow Statement'!H10)+N('Cash Flow Statement'!H11)+N('Cash Flow Statement'!H12))+'Balance Sheet'!H19)),"n/m")</f>
        <v/>
      </c>
      <c r="I24" s="3">
        <f>IFERROR(((N('Cash Flow Statement'!H10)+N('Cash Flow Statement'!H11)+N('Cash Flow Statement'!H12))/((N('Cash Flow Statement'!H10)+N('Cash Flow Statement'!H11)+N('Cash Flow Statement'!H12))+'Balance Sheet'!H19))/((N('Cash Flow Statement'!I10)+N('Cash Flow Statement'!I11)+N('Cash Flow Statement'!I12))/((N('Cash Flow Statement'!I10)+N('Cash Flow Statement'!I11)+N('Cash Flow Statement'!I12))+'Balance Sheet'!I19)),"n/m")</f>
        <v/>
      </c>
      <c r="J24" s="3">
        <f>IFERROR(((N('Cash Flow Statement'!I10)+N('Cash Flow Statement'!I11)+N('Cash Flow Statement'!I12))/((N('Cash Flow Statement'!I10)+N('Cash Flow Statement'!I11)+N('Cash Flow Statement'!I12))+'Balance Sheet'!I19))/((N('Cash Flow Statement'!J10)+N('Cash Flow Statement'!J11)+N('Cash Flow Statement'!J12))/((N('Cash Flow Statement'!J10)+N('Cash Flow Statement'!J11)+N('Cash Flow Statement'!J12))+'Balance Sheet'!J19)),"n/m")</f>
        <v/>
      </c>
      <c r="K24" s="3">
        <f>IFERROR(((N('Cash Flow Statement'!J10)+N('Cash Flow Statement'!J11)+N('Cash Flow Statement'!J12))/((N('Cash Flow Statement'!J10)+N('Cash Flow Statement'!J11)+N('Cash Flow Statement'!J12))+'Balance Sheet'!J19))/((N('Cash Flow Statement'!K10)+N('Cash Flow Statement'!K11)+N('Cash Flow Statement'!K12))/((N('Cash Flow Statement'!K10)+N('Cash Flow Statement'!K11)+N('Cash Flow Statement'!K12))+'Balance Sheet'!K19)),"n/m")</f>
        <v/>
      </c>
      <c r="L24" s="51" t="inlineStr">
        <is>
          <t>DEPI sums the CF D&amp;A lines present each year (2016-2020: dep+impairment of P&amp;E plus amortization+impairment of intangibles; 2021+: depreciation of P&amp;E only - as-filed granularity change); AQI uses 1-(CA+PPE)/TA (securities not separable)</t>
        </is>
      </c>
    </row>
    <row r="25">
      <c r="A25" t="inlineStr">
        <is>
          <t>SGAI (SG&amp;A index; S&amp;M+G&amp;A)</t>
        </is>
      </c>
      <c r="B25" s="47" t="inlineStr">
        <is>
          <t>n/a</t>
        </is>
      </c>
      <c r="C25" s="3">
        <f>IFERROR(((ABS('Income Statement'!C11)+ABS('Income Statement'!C12))/'Income Statement'!C7)/((ABS('Income Statement'!B11)+ABS('Income Statement'!B12))/'Income Statement'!B7),"n/m")</f>
        <v/>
      </c>
      <c r="D25" s="3">
        <f>IFERROR(((ABS('Income Statement'!D11)+ABS('Income Statement'!D12))/'Income Statement'!D7)/((ABS('Income Statement'!C11)+ABS('Income Statement'!C12))/'Income Statement'!C7),"n/m")</f>
        <v/>
      </c>
      <c r="E25" s="3">
        <f>IFERROR(((ABS('Income Statement'!E11)+ABS('Income Statement'!E12))/'Income Statement'!E7)/((ABS('Income Statement'!D11)+ABS('Income Statement'!D12))/'Income Statement'!D7),"n/m")</f>
        <v/>
      </c>
      <c r="F25" s="3">
        <f>IFERROR(((ABS('Income Statement'!F11)+ABS('Income Statement'!F12))/'Income Statement'!F7)/((ABS('Income Statement'!E11)+ABS('Income Statement'!E12))/'Income Statement'!E7),"n/m")</f>
        <v/>
      </c>
      <c r="G25" s="3">
        <f>IFERROR(((ABS('Income Statement'!G11)+ABS('Income Statement'!G12))/'Income Statement'!G7)/((ABS('Income Statement'!F11)+ABS('Income Statement'!F12))/'Income Statement'!F7),"n/m")</f>
        <v/>
      </c>
      <c r="H25" s="3">
        <f>IFERROR(((ABS('Income Statement'!H11)+ABS('Income Statement'!H12))/'Income Statement'!H7)/((ABS('Income Statement'!G11)+ABS('Income Statement'!G12))/'Income Statement'!G7),"n/m")</f>
        <v/>
      </c>
      <c r="I25" s="3">
        <f>IFERROR(((ABS('Income Statement'!I11)+ABS('Income Statement'!I12))/'Income Statement'!I7)/((ABS('Income Statement'!H11)+ABS('Income Statement'!H12))/'Income Statement'!H7),"n/m")</f>
        <v/>
      </c>
      <c r="J25" s="3">
        <f>IFERROR(((ABS('Income Statement'!J11)+ABS('Income Statement'!J12))/'Income Statement'!J7)/((ABS('Income Statement'!I11)+ABS('Income Statement'!I12))/'Income Statement'!I7),"n/m")</f>
        <v/>
      </c>
      <c r="K25" s="3">
        <f>IFERROR(((ABS('Income Statement'!K11)+ABS('Income Statement'!K12))/'Income Statement'!K7)/((ABS('Income Statement'!J11)+ABS('Income Statement'!J12))/'Income Statement'!J7),"n/m")</f>
        <v/>
      </c>
    </row>
    <row r="26">
      <c r="A26" t="inlineStr">
        <is>
          <t>LVGI (leverage index)</t>
        </is>
      </c>
      <c r="B26" s="47" t="inlineStr">
        <is>
          <t>n/a</t>
        </is>
      </c>
      <c r="C26" s="3">
        <f>IFERROR((('Balance Sheet'!C33+'Balance Sheet'!C36)/'Balance Sheet'!C24)/(('Balance Sheet'!B33+'Balance Sheet'!B36)/'Balance Sheet'!B24),"n/m")</f>
        <v/>
      </c>
      <c r="D26" s="3">
        <f>IFERROR((('Balance Sheet'!D33+'Balance Sheet'!D36)/'Balance Sheet'!D24)/(('Balance Sheet'!C33+'Balance Sheet'!C36)/'Balance Sheet'!C24),"n/m")</f>
        <v/>
      </c>
      <c r="E26" s="3">
        <f>IFERROR((('Balance Sheet'!E33+'Balance Sheet'!E36)/'Balance Sheet'!E24)/(('Balance Sheet'!D33+'Balance Sheet'!D36)/'Balance Sheet'!D24),"n/m")</f>
        <v/>
      </c>
      <c r="F26" s="3">
        <f>IFERROR((('Balance Sheet'!F33+'Balance Sheet'!F36)/'Balance Sheet'!F24)/(('Balance Sheet'!E33+'Balance Sheet'!E36)/'Balance Sheet'!E24),"n/m")</f>
        <v/>
      </c>
      <c r="G26" s="3">
        <f>IFERROR((('Balance Sheet'!G33+'Balance Sheet'!G36)/'Balance Sheet'!G24)/(('Balance Sheet'!F33+'Balance Sheet'!F36)/'Balance Sheet'!F24),"n/m")</f>
        <v/>
      </c>
      <c r="H26" s="3">
        <f>IFERROR((('Balance Sheet'!H33+'Balance Sheet'!H36)/'Balance Sheet'!H24)/(('Balance Sheet'!G33+'Balance Sheet'!G36)/'Balance Sheet'!G24),"n/m")</f>
        <v/>
      </c>
      <c r="I26" s="3">
        <f>IFERROR((('Balance Sheet'!I33+'Balance Sheet'!I36)/'Balance Sheet'!I24)/(('Balance Sheet'!H33+'Balance Sheet'!H36)/'Balance Sheet'!H24),"n/m")</f>
        <v/>
      </c>
      <c r="J26" s="3">
        <f>IFERROR((('Balance Sheet'!J33+'Balance Sheet'!J36)/'Balance Sheet'!J24)/(('Balance Sheet'!I33+'Balance Sheet'!I36)/'Balance Sheet'!I24),"n/m")</f>
        <v/>
      </c>
      <c r="K26" s="3">
        <f>IFERROR((('Balance Sheet'!K33+'Balance Sheet'!K36)/'Balance Sheet'!K24)/(('Balance Sheet'!J33+'Balance Sheet'!J36)/'Balance Sheet'!J24),"n/m")</f>
        <v/>
      </c>
    </row>
    <row r="27">
      <c r="A27" t="inlineStr">
        <is>
          <t>TATA ((NI-CFO)/TA)</t>
        </is>
      </c>
      <c r="B27" s="47" t="inlineStr">
        <is>
          <t>n/a</t>
        </is>
      </c>
      <c r="C27" s="64">
        <f>(C13-C14)/'Balance Sheet'!C24</f>
        <v/>
      </c>
      <c r="D27" s="64">
        <f>(D13-D14)/'Balance Sheet'!D24</f>
        <v/>
      </c>
      <c r="E27" s="64">
        <f>(E13-E14)/'Balance Sheet'!E24</f>
        <v/>
      </c>
      <c r="F27" s="64">
        <f>(F13-F14)/'Balance Sheet'!F24</f>
        <v/>
      </c>
      <c r="G27" s="64">
        <f>(G13-G14)/'Balance Sheet'!G24</f>
        <v/>
      </c>
      <c r="H27" s="64">
        <f>(H13-H14)/'Balance Sheet'!H24</f>
        <v/>
      </c>
      <c r="I27" s="64">
        <f>(I13-I14)/'Balance Sheet'!I24</f>
        <v/>
      </c>
      <c r="J27" s="64">
        <f>(J13-J14)/'Balance Sheet'!J24</f>
        <v/>
      </c>
      <c r="K27" s="64">
        <f>(K13-K14)/'Balance Sheet'!K24</f>
        <v/>
      </c>
    </row>
    <row r="28">
      <c r="A28" s="57" t="inlineStr">
        <is>
          <t>M-SCORE</t>
        </is>
      </c>
      <c r="B28" s="63" t="inlineStr">
        <is>
          <t>n/a</t>
        </is>
      </c>
      <c r="C28" s="42">
        <f>IFERROR(-4.84+0.92*C20+0.528*C21+0.404*C22+0.892*C23+0.115*C24-0.172*C25+4.679*C27-0.327*C26,"n/m")</f>
        <v/>
      </c>
      <c r="D28" s="42">
        <f>IFERROR(-4.84+0.92*D20+0.528*D21+0.404*D22+0.892*D23+0.115*D24-0.172*D25+4.679*D27-0.327*D26,"n/m")</f>
        <v/>
      </c>
      <c r="E28" s="42">
        <f>IFERROR(-4.84+0.92*E20+0.528*E21+0.404*E22+0.892*E23+0.115*E24-0.172*E25+4.679*E27-0.327*E26,"n/m")</f>
        <v/>
      </c>
      <c r="F28" s="42">
        <f>IFERROR(-4.84+0.92*F20+0.528*F21+0.404*F22+0.892*F23+0.115*F24-0.172*F25+4.679*F27-0.327*F26,"n/m")</f>
        <v/>
      </c>
      <c r="G28" s="42">
        <f>IFERROR(-4.84+0.92*G20+0.528*G21+0.404*G22+0.892*G23+0.115*G24-0.172*G25+4.679*G27-0.327*G26,"n/m")</f>
        <v/>
      </c>
      <c r="H28" s="42">
        <f>IFERROR(-4.84+0.92*H20+0.528*H21+0.404*H22+0.892*H23+0.115*H24-0.172*H25+4.679*H27-0.327*H26,"n/m")</f>
        <v/>
      </c>
      <c r="I28" s="42">
        <f>IFERROR(-4.84+0.92*I20+0.528*I21+0.404*I22+0.892*I23+0.115*I24-0.172*I25+4.679*I27-0.327*I26,"n/m")</f>
        <v/>
      </c>
      <c r="J28" s="42">
        <f>IFERROR(-4.84+0.92*J20+0.528*J21+0.404*J22+0.892*J23+0.115*J24-0.172*J25+4.679*J27-0.327*J26,"n/m")</f>
        <v/>
      </c>
      <c r="K28" s="42">
        <f>IFERROR(-4.84+0.92*K20+0.528*K21+0.404*K22+0.892*K23+0.115*K24-0.172*K25+4.679*K27-0.327*K26,"n/m")</f>
        <v/>
      </c>
    </row>
    <row r="29">
      <c r="A29" t="inlineStr">
        <is>
          <t>Verdict (&gt; -1.78 flag; &gt; -2.22 grey)</t>
        </is>
      </c>
      <c r="B29" s="47" t="inlineStr">
        <is>
          <t>n/a</t>
        </is>
      </c>
      <c r="C29">
        <f>IF(NOT(ISNUMBER(C28)),"n/m",IF(C28&gt;-1.78,"FLAG",IF(C28&gt;-2.22,"grey","ok")))</f>
        <v/>
      </c>
      <c r="D29">
        <f>IF(NOT(ISNUMBER(D28)),"n/m",IF(D28&gt;-1.78,"FLAG",IF(D28&gt;-2.22,"grey","ok")))</f>
        <v/>
      </c>
      <c r="E29">
        <f>IF(NOT(ISNUMBER(E28)),"n/m",IF(E28&gt;-1.78,"FLAG",IF(E28&gt;-2.22,"grey","ok")))</f>
        <v/>
      </c>
      <c r="F29">
        <f>IF(NOT(ISNUMBER(F28)),"n/m",IF(F28&gt;-1.78,"FLAG",IF(F28&gt;-2.22,"grey","ok")))</f>
        <v/>
      </c>
      <c r="G29">
        <f>IF(NOT(ISNUMBER(G28)),"n/m",IF(G28&gt;-1.78,"FLAG",IF(G28&gt;-2.22,"grey","ok")))</f>
        <v/>
      </c>
      <c r="H29">
        <f>IF(NOT(ISNUMBER(H28)),"n/m",IF(H28&gt;-1.78,"FLAG",IF(H28&gt;-2.22,"grey","ok")))</f>
        <v/>
      </c>
      <c r="I29">
        <f>IF(NOT(ISNUMBER(I28)),"n/m",IF(I28&gt;-1.78,"FLAG",IF(I28&gt;-2.22,"grey","ok")))</f>
        <v/>
      </c>
      <c r="J29">
        <f>IF(NOT(ISNUMBER(J28)),"n/m",IF(J28&gt;-1.78,"FLAG",IF(J28&gt;-2.22,"grey","ok")))</f>
        <v/>
      </c>
      <c r="K29">
        <f>IF(NOT(ISNUMBER(K28)),"n/m",IF(K28&gt;-1.78,"FLAG",IF(K28&gt;-2.22,"grey","ok")))</f>
        <v/>
      </c>
      <c r="L29" s="51" t="inlineStr">
        <is>
          <t>Beneish was fit on profitable-firm manipulators; the 2021/2023 server-life extensions move DEPI by construction (estimate changes, see disclosure-only memo in the Core Earnings Bridge)</t>
        </is>
      </c>
    </row>
    <row r="30"/>
    <row r="31">
      <c r="A31" s="52" t="inlineStr">
        <is>
          <t>C. PIOTROSKI F-SCORE (9 signals)</t>
        </is>
      </c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</row>
    <row r="32">
      <c r="A32" t="inlineStr">
        <is>
          <t>1. ROA &gt; 0</t>
        </is>
      </c>
      <c r="B32" s="47" t="inlineStr">
        <is>
          <t>n/a</t>
        </is>
      </c>
      <c r="C32" s="28">
        <f>IF(('Income Statement'!C19/(('Balance Sheet'!C24+'Balance Sheet'!B24)/2))&gt;0,1,0)</f>
        <v/>
      </c>
      <c r="D32" s="28">
        <f>IF(('Income Statement'!D19/(('Balance Sheet'!D24+'Balance Sheet'!C24)/2))&gt;0,1,0)</f>
        <v/>
      </c>
      <c r="E32" s="28">
        <f>IF(('Income Statement'!E19/(('Balance Sheet'!E24+'Balance Sheet'!D24)/2))&gt;0,1,0)</f>
        <v/>
      </c>
      <c r="F32" s="28">
        <f>IF(('Income Statement'!F19/(('Balance Sheet'!F24+'Balance Sheet'!E24)/2))&gt;0,1,0)</f>
        <v/>
      </c>
      <c r="G32" s="28">
        <f>IF(('Income Statement'!G19/(('Balance Sheet'!G24+'Balance Sheet'!F24)/2))&gt;0,1,0)</f>
        <v/>
      </c>
      <c r="H32" s="28">
        <f>IF(('Income Statement'!H19/(('Balance Sheet'!H24+'Balance Sheet'!G24)/2))&gt;0,1,0)</f>
        <v/>
      </c>
      <c r="I32" s="28">
        <f>IF(('Income Statement'!I19/(('Balance Sheet'!I24+'Balance Sheet'!H24)/2))&gt;0,1,0)</f>
        <v/>
      </c>
      <c r="J32" s="28">
        <f>IF(('Income Statement'!J19/(('Balance Sheet'!J24+'Balance Sheet'!I24)/2))&gt;0,1,0)</f>
        <v/>
      </c>
      <c r="K32" s="28">
        <f>IF(('Income Statement'!K19/(('Balance Sheet'!K24+'Balance Sheet'!J24)/2))&gt;0,1,0)</f>
        <v/>
      </c>
    </row>
    <row r="33">
      <c r="A33" t="inlineStr">
        <is>
          <t>2. CFO &gt; 0</t>
        </is>
      </c>
      <c r="B33" s="47" t="inlineStr">
        <is>
          <t>n/a</t>
        </is>
      </c>
      <c r="C33" s="28">
        <f>IF('Cash Flow Statement'!C26&gt;0,1,0)</f>
        <v/>
      </c>
      <c r="D33" s="28">
        <f>IF('Cash Flow Statement'!D26&gt;0,1,0)</f>
        <v/>
      </c>
      <c r="E33" s="28">
        <f>IF('Cash Flow Statement'!E26&gt;0,1,0)</f>
        <v/>
      </c>
      <c r="F33" s="28">
        <f>IF('Cash Flow Statement'!F26&gt;0,1,0)</f>
        <v/>
      </c>
      <c r="G33" s="28">
        <f>IF('Cash Flow Statement'!G26&gt;0,1,0)</f>
        <v/>
      </c>
      <c r="H33" s="28">
        <f>IF('Cash Flow Statement'!H26&gt;0,1,0)</f>
        <v/>
      </c>
      <c r="I33" s="28">
        <f>IF('Cash Flow Statement'!I26&gt;0,1,0)</f>
        <v/>
      </c>
      <c r="J33" s="28">
        <f>IF('Cash Flow Statement'!J26&gt;0,1,0)</f>
        <v/>
      </c>
      <c r="K33" s="28">
        <f>IF('Cash Flow Statement'!K26&gt;0,1,0)</f>
        <v/>
      </c>
    </row>
    <row r="34">
      <c r="A34" t="inlineStr">
        <is>
          <t>3. dROA &gt; 0</t>
        </is>
      </c>
      <c r="B34" s="47" t="inlineStr">
        <is>
          <t>n/a</t>
        </is>
      </c>
      <c r="C34" s="47" t="inlineStr">
        <is>
          <t>n/a</t>
        </is>
      </c>
      <c r="D34" s="28">
        <f>IF(('Income Statement'!D19/(('Balance Sheet'!D24+'Balance Sheet'!C24)/2))&gt;('Income Statement'!C19/(('Balance Sheet'!C24+'Balance Sheet'!B24)/2)),1,0)</f>
        <v/>
      </c>
      <c r="E34" s="28">
        <f>IF(('Income Statement'!E19/(('Balance Sheet'!E24+'Balance Sheet'!D24)/2))&gt;('Income Statement'!D19/(('Balance Sheet'!D24+'Balance Sheet'!C24)/2)),1,0)</f>
        <v/>
      </c>
      <c r="F34" s="28">
        <f>IF(('Income Statement'!F19/(('Balance Sheet'!F24+'Balance Sheet'!E24)/2))&gt;('Income Statement'!E19/(('Balance Sheet'!E24+'Balance Sheet'!D24)/2)),1,0)</f>
        <v/>
      </c>
      <c r="G34" s="28">
        <f>IF(('Income Statement'!G19/(('Balance Sheet'!G24+'Balance Sheet'!F24)/2))&gt;('Income Statement'!F19/(('Balance Sheet'!F24+'Balance Sheet'!E24)/2)),1,0)</f>
        <v/>
      </c>
      <c r="H34" s="28">
        <f>IF(('Income Statement'!H19/(('Balance Sheet'!H24+'Balance Sheet'!G24)/2))&gt;('Income Statement'!G19/(('Balance Sheet'!G24+'Balance Sheet'!F24)/2)),1,0)</f>
        <v/>
      </c>
      <c r="I34" s="28">
        <f>IF(('Income Statement'!I19/(('Balance Sheet'!I24+'Balance Sheet'!H24)/2))&gt;('Income Statement'!H19/(('Balance Sheet'!H24+'Balance Sheet'!G24)/2)),1,0)</f>
        <v/>
      </c>
      <c r="J34" s="28">
        <f>IF(('Income Statement'!J19/(('Balance Sheet'!J24+'Balance Sheet'!I24)/2))&gt;('Income Statement'!I19/(('Balance Sheet'!I24+'Balance Sheet'!H24)/2)),1,0)</f>
        <v/>
      </c>
      <c r="K34" s="28">
        <f>IF(('Income Statement'!K19/(('Balance Sheet'!K24+'Balance Sheet'!J24)/2))&gt;('Income Statement'!J19/(('Balance Sheet'!J24+'Balance Sheet'!I24)/2)),1,0)</f>
        <v/>
      </c>
    </row>
    <row r="35">
      <c r="A35" t="inlineStr">
        <is>
          <t>4. CFO &gt; NI (accruals)</t>
        </is>
      </c>
      <c r="B35" s="47" t="inlineStr">
        <is>
          <t>n/a</t>
        </is>
      </c>
      <c r="C35" s="28">
        <f>IF('Cash Flow Statement'!C26&gt;'Income Statement'!C19,1,0)</f>
        <v/>
      </c>
      <c r="D35" s="28">
        <f>IF('Cash Flow Statement'!D26&gt;'Income Statement'!D19,1,0)</f>
        <v/>
      </c>
      <c r="E35" s="28">
        <f>IF('Cash Flow Statement'!E26&gt;'Income Statement'!E19,1,0)</f>
        <v/>
      </c>
      <c r="F35" s="28">
        <f>IF('Cash Flow Statement'!F26&gt;'Income Statement'!F19,1,0)</f>
        <v/>
      </c>
      <c r="G35" s="28">
        <f>IF('Cash Flow Statement'!G26&gt;'Income Statement'!G19,1,0)</f>
        <v/>
      </c>
      <c r="H35" s="28">
        <f>IF('Cash Flow Statement'!H26&gt;'Income Statement'!H19,1,0)</f>
        <v/>
      </c>
      <c r="I35" s="28">
        <f>IF('Cash Flow Statement'!I26&gt;'Income Statement'!I19,1,0)</f>
        <v/>
      </c>
      <c r="J35" s="28">
        <f>IF('Cash Flow Statement'!J26&gt;'Income Statement'!J19,1,0)</f>
        <v/>
      </c>
      <c r="K35" s="28">
        <f>IF('Cash Flow Statement'!K26&gt;'Income Statement'!K19,1,0)</f>
        <v/>
      </c>
    </row>
    <row r="36">
      <c r="A36" t="inlineStr">
        <is>
          <t>5. dLeverage &lt; 0 (LTD/TA)</t>
        </is>
      </c>
      <c r="B36" s="47" t="inlineStr">
        <is>
          <t>n/a</t>
        </is>
      </c>
      <c r="C36" s="28">
        <f>IF(('Balance Sheet'!C36/'Balance Sheet'!C24)&lt;('Balance Sheet'!B36/'Balance Sheet'!B24),1,0)</f>
        <v/>
      </c>
      <c r="D36" s="28">
        <f>IF(('Balance Sheet'!D36/'Balance Sheet'!D24)&lt;('Balance Sheet'!C36/'Balance Sheet'!C24),1,0)</f>
        <v/>
      </c>
      <c r="E36" s="28">
        <f>IF(('Balance Sheet'!E36/'Balance Sheet'!E24)&lt;('Balance Sheet'!D36/'Balance Sheet'!D24),1,0)</f>
        <v/>
      </c>
      <c r="F36" s="28">
        <f>IF(('Balance Sheet'!F36/'Balance Sheet'!F24)&lt;('Balance Sheet'!E36/'Balance Sheet'!E24),1,0)</f>
        <v/>
      </c>
      <c r="G36" s="28">
        <f>IF(('Balance Sheet'!G36/'Balance Sheet'!G24)&lt;('Balance Sheet'!F36/'Balance Sheet'!F24),1,0)</f>
        <v/>
      </c>
      <c r="H36" s="28">
        <f>IF(('Balance Sheet'!H36/'Balance Sheet'!H24)&lt;('Balance Sheet'!G36/'Balance Sheet'!G24),1,0)</f>
        <v/>
      </c>
      <c r="I36" s="28">
        <f>IF(('Balance Sheet'!I36/'Balance Sheet'!I24)&lt;('Balance Sheet'!H36/'Balance Sheet'!H24),1,0)</f>
        <v/>
      </c>
      <c r="J36" s="28">
        <f>IF(('Balance Sheet'!J36/'Balance Sheet'!J24)&lt;('Balance Sheet'!I36/'Balance Sheet'!I24),1,0)</f>
        <v/>
      </c>
      <c r="K36" s="28">
        <f>IF(('Balance Sheet'!K36/'Balance Sheet'!K24)&lt;('Balance Sheet'!J36/'Balance Sheet'!J24),1,0)</f>
        <v/>
      </c>
    </row>
    <row r="37">
      <c r="A37" t="inlineStr">
        <is>
          <t>6. dCurrent ratio &gt; 0</t>
        </is>
      </c>
      <c r="B37" s="47" t="inlineStr">
        <is>
          <t>n/a</t>
        </is>
      </c>
      <c r="C37" s="28">
        <f>IF(('Balance Sheet'!C14/'Balance Sheet'!C33)&gt;('Balance Sheet'!B14/'Balance Sheet'!B33),1,0)</f>
        <v/>
      </c>
      <c r="D37" s="28">
        <f>IF(('Balance Sheet'!D14/'Balance Sheet'!D33)&gt;('Balance Sheet'!C14/'Balance Sheet'!C33),1,0)</f>
        <v/>
      </c>
      <c r="E37" s="28">
        <f>IF(('Balance Sheet'!E14/'Balance Sheet'!E33)&gt;('Balance Sheet'!D14/'Balance Sheet'!D33),1,0)</f>
        <v/>
      </c>
      <c r="F37" s="28">
        <f>IF(('Balance Sheet'!F14/'Balance Sheet'!F33)&gt;('Balance Sheet'!E14/'Balance Sheet'!E33),1,0)</f>
        <v/>
      </c>
      <c r="G37" s="28">
        <f>IF(('Balance Sheet'!G14/'Balance Sheet'!G33)&gt;('Balance Sheet'!F14/'Balance Sheet'!F33),1,0)</f>
        <v/>
      </c>
      <c r="H37" s="28">
        <f>IF(('Balance Sheet'!H14/'Balance Sheet'!H33)&gt;('Balance Sheet'!G14/'Balance Sheet'!G33),1,0)</f>
        <v/>
      </c>
      <c r="I37" s="28">
        <f>IF(('Balance Sheet'!I14/'Balance Sheet'!I33)&gt;('Balance Sheet'!H14/'Balance Sheet'!H33),1,0)</f>
        <v/>
      </c>
      <c r="J37" s="28">
        <f>IF(('Balance Sheet'!J14/'Balance Sheet'!J33)&gt;('Balance Sheet'!I14/'Balance Sheet'!I33),1,0)</f>
        <v/>
      </c>
      <c r="K37" s="28">
        <f>IF(('Balance Sheet'!K14/'Balance Sheet'!K33)&gt;('Balance Sheet'!J14/'Balance Sheet'!J33),1,0)</f>
        <v/>
      </c>
    </row>
    <row r="38">
      <c r="A38" t="inlineStr">
        <is>
          <t>7. No dilution (diluted shares &lt;= prior; n/a pre-FY2022)</t>
        </is>
      </c>
      <c r="B38" s="47" t="inlineStr">
        <is>
          <t>n/a</t>
        </is>
      </c>
      <c r="C38" s="28">
        <f>IF(AND(ISNUMBER('Income Statement'!C24),ISNUMBER('Income Statement'!B24)),IF('Income Statement'!C24&lt;='Income Statement'!B24,1,0),"n/a")</f>
        <v/>
      </c>
      <c r="D38" s="28">
        <f>IF(AND(ISNUMBER('Income Statement'!D24),ISNUMBER('Income Statement'!C24)),IF('Income Statement'!D24&lt;='Income Statement'!C24,1,0),"n/a")</f>
        <v/>
      </c>
      <c r="E38" s="28">
        <f>IF(AND(ISNUMBER('Income Statement'!E24),ISNUMBER('Income Statement'!D24)),IF('Income Statement'!E24&lt;='Income Statement'!D24,1,0),"n/a")</f>
        <v/>
      </c>
      <c r="F38" s="28">
        <f>IF(AND(ISNUMBER('Income Statement'!F24),ISNUMBER('Income Statement'!E24)),IF('Income Statement'!F24&lt;='Income Statement'!E24,1,0),"n/a")</f>
        <v/>
      </c>
      <c r="G38" s="28">
        <f>IF(AND(ISNUMBER('Income Statement'!G24),ISNUMBER('Income Statement'!F24)),IF('Income Statement'!G24&lt;='Income Statement'!F24,1,0),"n/a")</f>
        <v/>
      </c>
      <c r="H38" s="28">
        <f>IF(AND(ISNUMBER('Income Statement'!H24),ISNUMBER('Income Statement'!G24)),IF('Income Statement'!H24&lt;='Income Statement'!G24,1,0),"n/a")</f>
        <v/>
      </c>
      <c r="I38" s="28">
        <f>IF(AND(ISNUMBER('Income Statement'!I24),ISNUMBER('Income Statement'!H24)),IF('Income Statement'!I24&lt;='Income Statement'!H24,1,0),"n/a")</f>
        <v/>
      </c>
      <c r="J38" s="28">
        <f>IF(AND(ISNUMBER('Income Statement'!J24),ISNUMBER('Income Statement'!I24)),IF('Income Statement'!J24&lt;='Income Statement'!I24,1,0),"n/a")</f>
        <v/>
      </c>
      <c r="K38" s="28">
        <f>IF(AND(ISNUMBER('Income Statement'!K24),ISNUMBER('Income Statement'!J24)),IF('Income Statement'!K24&lt;='Income Statement'!J24,1,0),"n/a")</f>
        <v/>
      </c>
      <c r="L38" s="51" t="inlineStr">
        <is>
          <t>Diluted weighted shares are as-filed only from FY2022 (split-adjusted); earlier columns n/a - SUM skips text</t>
        </is>
      </c>
    </row>
    <row r="39">
      <c r="A39" t="inlineStr">
        <is>
          <t>8. dGross margin % &gt; 0</t>
        </is>
      </c>
      <c r="B39" s="47" t="inlineStr">
        <is>
          <t>n/a</t>
        </is>
      </c>
      <c r="C39" s="28">
        <f>IF(('Income Statement'!C9/'Income Statement'!C7)&gt;('Income Statement'!B9/'Income Statement'!B7),1,0)</f>
        <v/>
      </c>
      <c r="D39" s="28">
        <f>IF(('Income Statement'!D9/'Income Statement'!D7)&gt;('Income Statement'!C9/'Income Statement'!C7),1,0)</f>
        <v/>
      </c>
      <c r="E39" s="28">
        <f>IF(('Income Statement'!E9/'Income Statement'!E7)&gt;('Income Statement'!D9/'Income Statement'!D7),1,0)</f>
        <v/>
      </c>
      <c r="F39" s="28">
        <f>IF(('Income Statement'!F9/'Income Statement'!F7)&gt;('Income Statement'!E9/'Income Statement'!E7),1,0)</f>
        <v/>
      </c>
      <c r="G39" s="28">
        <f>IF(('Income Statement'!G9/'Income Statement'!G7)&gt;('Income Statement'!F9/'Income Statement'!F7),1,0)</f>
        <v/>
      </c>
      <c r="H39" s="28">
        <f>IF(('Income Statement'!H9/'Income Statement'!H7)&gt;('Income Statement'!G9/'Income Statement'!G7),1,0)</f>
        <v/>
      </c>
      <c r="I39" s="28">
        <f>IF(('Income Statement'!I9/'Income Statement'!I7)&gt;('Income Statement'!H9/'Income Statement'!H7),1,0)</f>
        <v/>
      </c>
      <c r="J39" s="28">
        <f>IF(('Income Statement'!J9/'Income Statement'!J7)&gt;('Income Statement'!I9/'Income Statement'!I7),1,0)</f>
        <v/>
      </c>
      <c r="K39" s="28">
        <f>IF(('Income Statement'!K9/'Income Statement'!K7)&gt;('Income Statement'!J9/'Income Statement'!J7),1,0)</f>
        <v/>
      </c>
    </row>
    <row r="40">
      <c r="A40" t="inlineStr">
        <is>
          <t>9. dAsset turnover &gt; 0</t>
        </is>
      </c>
      <c r="B40" s="47" t="inlineStr">
        <is>
          <t>n/a</t>
        </is>
      </c>
      <c r="C40" s="47" t="inlineStr">
        <is>
          <t>n/a</t>
        </is>
      </c>
      <c r="D40" s="28">
        <f>IF(('Income Statement'!D7/(('Balance Sheet'!D24+'Balance Sheet'!C24)/2))&gt;('Income Statement'!C7/(('Balance Sheet'!C24+'Balance Sheet'!B24)/2)),1,0)</f>
        <v/>
      </c>
      <c r="E40" s="28">
        <f>IF(('Income Statement'!E7/(('Balance Sheet'!E24+'Balance Sheet'!D24)/2))&gt;('Income Statement'!D7/(('Balance Sheet'!D24+'Balance Sheet'!C24)/2)),1,0)</f>
        <v/>
      </c>
      <c r="F40" s="28">
        <f>IF(('Income Statement'!F7/(('Balance Sheet'!F24+'Balance Sheet'!E24)/2))&gt;('Income Statement'!E7/(('Balance Sheet'!E24+'Balance Sheet'!D24)/2)),1,0)</f>
        <v/>
      </c>
      <c r="G40" s="28">
        <f>IF(('Income Statement'!G7/(('Balance Sheet'!G24+'Balance Sheet'!F24)/2))&gt;('Income Statement'!F7/(('Balance Sheet'!F24+'Balance Sheet'!E24)/2)),1,0)</f>
        <v/>
      </c>
      <c r="H40" s="28">
        <f>IF(('Income Statement'!H7/(('Balance Sheet'!H24+'Balance Sheet'!G24)/2))&gt;('Income Statement'!G7/(('Balance Sheet'!G24+'Balance Sheet'!F24)/2)),1,0)</f>
        <v/>
      </c>
      <c r="I40" s="28">
        <f>IF(('Income Statement'!I7/(('Balance Sheet'!I24+'Balance Sheet'!H24)/2))&gt;('Income Statement'!H7/(('Balance Sheet'!H24+'Balance Sheet'!G24)/2)),1,0)</f>
        <v/>
      </c>
      <c r="J40" s="28">
        <f>IF(('Income Statement'!J7/(('Balance Sheet'!J24+'Balance Sheet'!I24)/2))&gt;('Income Statement'!I7/(('Balance Sheet'!I24+'Balance Sheet'!H24)/2)),1,0)</f>
        <v/>
      </c>
      <c r="K40" s="28">
        <f>IF(('Income Statement'!K7/(('Balance Sheet'!K24+'Balance Sheet'!J24)/2))&gt;('Income Statement'!J7/(('Balance Sheet'!J24+'Balance Sheet'!I24)/2)),1,0)</f>
        <v/>
      </c>
    </row>
    <row r="41">
      <c r="A41" s="57" t="inlineStr">
        <is>
          <t>F-SCORE (of signals available)</t>
        </is>
      </c>
      <c r="B41" s="63" t="inlineStr">
        <is>
          <t>n/a</t>
        </is>
      </c>
      <c r="C41" s="65">
        <f>SUM(C32:C40)</f>
        <v/>
      </c>
      <c r="D41" s="65">
        <f>SUM(D32:D40)</f>
        <v/>
      </c>
      <c r="E41" s="65">
        <f>SUM(E32:E40)</f>
        <v/>
      </c>
      <c r="F41" s="65">
        <f>SUM(F32:F40)</f>
        <v/>
      </c>
      <c r="G41" s="65">
        <f>SUM(G32:G40)</f>
        <v/>
      </c>
      <c r="H41" s="65">
        <f>SUM(H32:H40)</f>
        <v/>
      </c>
      <c r="I41" s="65">
        <f>SUM(I32:I40)</f>
        <v/>
      </c>
      <c r="J41" s="65">
        <f>SUM(J32:J40)</f>
        <v/>
      </c>
      <c r="K41" s="65">
        <f>SUM(K32:K40)</f>
        <v/>
      </c>
    </row>
    <row r="42">
      <c r="A42" t="inlineStr">
        <is>
          <t>Verdict (&lt;=3 weak; &gt;=8 strong)</t>
        </is>
      </c>
      <c r="B42" s="47" t="inlineStr">
        <is>
          <t>n/a</t>
        </is>
      </c>
      <c r="C42">
        <f>IF(C41&lt;=3,"WEAK",IF(C41&gt;=8,"strong","mid"))</f>
        <v/>
      </c>
      <c r="D42">
        <f>IF(D41&lt;=3,"WEAK",IF(D41&gt;=8,"strong","mid"))</f>
        <v/>
      </c>
      <c r="E42">
        <f>IF(E41&lt;=3,"WEAK",IF(E41&gt;=8,"strong","mid"))</f>
        <v/>
      </c>
      <c r="F42">
        <f>IF(F41&lt;=3,"WEAK",IF(F41&gt;=8,"strong","mid"))</f>
        <v/>
      </c>
      <c r="G42">
        <f>IF(G41&lt;=3,"WEAK",IF(G41&gt;=8,"strong","mid"))</f>
        <v/>
      </c>
      <c r="H42">
        <f>IF(H41&lt;=3,"WEAK",IF(H41&gt;=8,"strong","mid"))</f>
        <v/>
      </c>
      <c r="I42">
        <f>IF(I41&lt;=3,"WEAK",IF(I41&gt;=8,"strong","mid"))</f>
        <v/>
      </c>
      <c r="J42">
        <f>IF(J41&lt;=3,"WEAK",IF(J41&gt;=8,"strong","mid"))</f>
        <v/>
      </c>
      <c r="K42">
        <f>IF(K41&lt;=3,"WEAK",IF(K41&gt;=8,"strong","mid"))</f>
        <v/>
      </c>
    </row>
    <row r="43"/>
    <row r="44">
      <c r="A44" s="52" t="inlineStr">
        <is>
          <t>D. BENFORD'S LAW (full XBRL fact set per filing)</t>
        </is>
      </c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</row>
    <row r="45">
      <c r="A45" s="51" t="inlineStr">
        <is>
          <t>Population: every USD-denominated us-gaap fact in the filing's XBRL instance (statements + notes), |value|&gt;=1, deduped by (concept, period, value). MAD verdicts per Nigrini: &lt;=0.006 close, &lt;=0.012 acceptable, &lt;=0.015 marginal, else nonconforming. chi-sq df=8, 5% crit 15.51. Benford applies to FILINGS, not years: the ten-year window is sourced from five 10-Ks (FY2017/19/21/23/25 - extraction_log.md); years sourced from a covering filing's comparatives share its statistics (left blank).</t>
        </is>
      </c>
    </row>
    <row r="46">
      <c r="A46" s="53" t="inlineStr">
        <is>
          <t>(source-filing columns only)</t>
        </is>
      </c>
      <c r="B46" s="54">
        <f>'Income Statement'!B6</f>
        <v/>
      </c>
      <c r="C46" s="54">
        <f>'Income Statement'!C6</f>
        <v/>
      </c>
      <c r="D46" s="54">
        <f>'Income Statement'!D6</f>
        <v/>
      </c>
      <c r="E46" s="54">
        <f>'Income Statement'!E6</f>
        <v/>
      </c>
      <c r="F46" s="54">
        <f>'Income Statement'!F6</f>
        <v/>
      </c>
      <c r="G46" s="54">
        <f>'Income Statement'!G6</f>
        <v/>
      </c>
      <c r="H46" s="54">
        <f>'Income Statement'!H6</f>
        <v/>
      </c>
      <c r="I46" s="54">
        <f>'Income Statement'!I6</f>
        <v/>
      </c>
      <c r="J46" s="54">
        <f>'Income Statement'!J6</f>
        <v/>
      </c>
      <c r="K46" s="54">
        <f>'Income Statement'!K6</f>
        <v/>
      </c>
    </row>
    <row r="47">
      <c r="A47" t="inlineStr">
        <is>
          <t>Filing (10-K accession)</t>
        </is>
      </c>
      <c r="C47" s="66" t="inlineStr">
        <is>
          <t>0001652044-18-000007</t>
        </is>
      </c>
      <c r="E47" s="66" t="inlineStr">
        <is>
          <t>0001652044-20-000008</t>
        </is>
      </c>
      <c r="G47" s="66" t="inlineStr">
        <is>
          <t>0001652044-22-000019</t>
        </is>
      </c>
      <c r="I47" s="66" t="inlineStr">
        <is>
          <t>0001652044-24-000022</t>
        </is>
      </c>
      <c r="K47" s="66" t="inlineStr">
        <is>
          <t>0001652044-26-000018</t>
        </is>
      </c>
    </row>
    <row r="48">
      <c r="A48" t="inlineStr">
        <is>
          <t>N facts</t>
        </is>
      </c>
      <c r="C48" t="n">
        <v>471</v>
      </c>
      <c r="E48" t="n">
        <v>510</v>
      </c>
      <c r="G48" t="n">
        <v>506</v>
      </c>
      <c r="I48" t="n">
        <v>488</v>
      </c>
      <c r="K48" t="n">
        <v>575</v>
      </c>
    </row>
    <row r="49">
      <c r="A49" t="inlineStr">
        <is>
          <t>MAD (first digit)</t>
        </is>
      </c>
      <c r="C49" s="67" t="n">
        <v>0.009950000000000001</v>
      </c>
      <c r="E49" s="67" t="n">
        <v>0.014</v>
      </c>
      <c r="G49" s="67" t="n">
        <v>0.02212</v>
      </c>
      <c r="I49" s="67" t="n">
        <v>0.01378</v>
      </c>
      <c r="K49" s="67" t="n">
        <v>0.0073</v>
      </c>
    </row>
    <row r="50">
      <c r="A50" t="inlineStr">
        <is>
          <t>MAD verdict</t>
        </is>
      </c>
      <c r="C50" t="inlineStr">
        <is>
          <t>acceptable</t>
        </is>
      </c>
      <c r="E50" t="inlineStr">
        <is>
          <t>marginal</t>
        </is>
      </c>
      <c r="G50" t="inlineStr">
        <is>
          <t>NONCONFORM</t>
        </is>
      </c>
      <c r="I50" t="inlineStr">
        <is>
          <t>marginal</t>
        </is>
      </c>
      <c r="K50" t="inlineStr">
        <is>
          <t>acceptable</t>
        </is>
      </c>
    </row>
    <row r="51">
      <c r="A51" t="inlineStr">
        <is>
          <t>chi-square (df=8)</t>
        </is>
      </c>
      <c r="C51" s="41" t="n">
        <v>4.9</v>
      </c>
      <c r="E51" s="41" t="n">
        <v>12.1</v>
      </c>
      <c r="G51" s="41" t="n">
        <v>26.3</v>
      </c>
      <c r="I51" s="41" t="n">
        <v>12.9</v>
      </c>
      <c r="K51" s="41" t="n">
        <v>3.7</v>
      </c>
    </row>
    <row r="52">
      <c r="A52" t="inlineStr">
        <is>
          <t>chi-sq &gt; 15.51?</t>
        </is>
      </c>
      <c r="C52" t="inlineStr">
        <is>
          <t>no</t>
        </is>
      </c>
      <c r="E52" t="inlineStr">
        <is>
          <t>no</t>
        </is>
      </c>
      <c r="G52" t="inlineStr">
        <is>
          <t>yes</t>
        </is>
      </c>
      <c r="I52" t="inlineStr">
        <is>
          <t>no</t>
        </is>
      </c>
      <c r="K52" t="inlineStr">
        <is>
          <t>no</t>
        </is>
      </c>
    </row>
    <row r="53"/>
    <row r="54"/>
    <row r="55">
      <c r="A55" s="62" t="inlineStr">
        <is>
          <t>QUARTERLY (Beneish/Piotroski on a same-quarter-prior-year basis, t vs t-4)</t>
        </is>
      </c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</row>
    <row r="56">
      <c r="B56" s="61" t="inlineStr">
        <is>
          <t>Q1 2024</t>
        </is>
      </c>
      <c r="C56" s="61" t="inlineStr">
        <is>
          <t>Q2 2024</t>
        </is>
      </c>
      <c r="D56" s="61" t="inlineStr">
        <is>
          <t>Q3 2024</t>
        </is>
      </c>
      <c r="E56" s="61" t="inlineStr">
        <is>
          <t>Q4 2024</t>
        </is>
      </c>
      <c r="F56" s="61" t="inlineStr">
        <is>
          <t>Q1 2025</t>
        </is>
      </c>
      <c r="G56" s="61" t="inlineStr">
        <is>
          <t>Q2 2025</t>
        </is>
      </c>
      <c r="H56" s="61" t="inlineStr">
        <is>
          <t>Q3 2025</t>
        </is>
      </c>
      <c r="I56" s="61" t="inlineStr">
        <is>
          <t>Q4 2025</t>
        </is>
      </c>
      <c r="J56" s="61" t="inlineStr">
        <is>
          <t>Q1 2026</t>
        </is>
      </c>
    </row>
    <row r="57">
      <c r="A57" s="53" t="inlineStr">
        <is>
          <t>Line Item</t>
        </is>
      </c>
      <c r="B57" s="54">
        <f>'Income Statement'!B32</f>
        <v/>
      </c>
      <c r="C57" s="54">
        <f>'Income Statement'!C32</f>
        <v/>
      </c>
      <c r="D57" s="54">
        <f>'Income Statement'!D32</f>
        <v/>
      </c>
      <c r="E57" s="54">
        <f>'Income Statement'!E32</f>
        <v/>
      </c>
      <c r="F57" s="54">
        <f>'Income Statement'!F32</f>
        <v/>
      </c>
      <c r="G57" s="54">
        <f>'Income Statement'!G32</f>
        <v/>
      </c>
      <c r="H57" s="54">
        <f>'Income Statement'!H32</f>
        <v/>
      </c>
      <c r="I57" s="54">
        <f>'Income Statement'!I32</f>
        <v/>
      </c>
      <c r="J57" s="54">
        <f>'Income Statement'!J32</f>
        <v/>
      </c>
    </row>
    <row r="58"/>
    <row r="59">
      <c r="A59" s="52" t="inlineStr">
        <is>
          <t>A. ACCRUALS &amp; CASH CONVERSION (quarter)</t>
        </is>
      </c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</row>
    <row r="60">
      <c r="A60" t="inlineStr">
        <is>
          <t>NOA (Condensed quarterly)</t>
        </is>
      </c>
      <c r="B60" s="4">
        <f>'Condensed Financials'!B103</f>
        <v/>
      </c>
      <c r="C60" s="4">
        <f>'Condensed Financials'!C103</f>
        <v/>
      </c>
      <c r="D60" s="4">
        <f>'Condensed Financials'!D103</f>
        <v/>
      </c>
      <c r="E60" s="4">
        <f>'Condensed Financials'!E103</f>
        <v/>
      </c>
      <c r="F60" s="4">
        <f>'Condensed Financials'!F103</f>
        <v/>
      </c>
      <c r="G60" s="4">
        <f>'Condensed Financials'!G103</f>
        <v/>
      </c>
      <c r="H60" s="4">
        <f>'Condensed Financials'!H103</f>
        <v/>
      </c>
      <c r="I60" s="4">
        <f>'Condensed Financials'!I103</f>
        <v/>
      </c>
      <c r="J60" s="4">
        <f>'Condensed Financials'!J103</f>
        <v/>
      </c>
    </row>
    <row r="61">
      <c r="A61" t="inlineStr">
        <is>
          <t>BS accruals = dNOA (QoQ)</t>
        </is>
      </c>
      <c r="B61" s="47" t="inlineStr">
        <is>
          <t>n/a</t>
        </is>
      </c>
      <c r="C61" s="4">
        <f>C60-B60</f>
        <v/>
      </c>
      <c r="D61" s="4">
        <f>D60-C60</f>
        <v/>
      </c>
      <c r="E61" s="4">
        <f>E60-D60</f>
        <v/>
      </c>
      <c r="F61" s="4">
        <f>F60-E60</f>
        <v/>
      </c>
      <c r="G61" s="4">
        <f>G60-F60</f>
        <v/>
      </c>
      <c r="H61" s="4">
        <f>H60-G60</f>
        <v/>
      </c>
      <c r="I61" s="4">
        <f>I60-H60</f>
        <v/>
      </c>
      <c r="J61" s="4">
        <f>J60-I60</f>
        <v/>
      </c>
    </row>
    <row r="62">
      <c r="A62" t="inlineStr">
        <is>
          <t>Avg NOA</t>
        </is>
      </c>
      <c r="B62" s="47" t="inlineStr">
        <is>
          <t>n/a</t>
        </is>
      </c>
      <c r="C62" s="4">
        <f>(C60+B60)/2</f>
        <v/>
      </c>
      <c r="D62" s="4">
        <f>(D60+C60)/2</f>
        <v/>
      </c>
      <c r="E62" s="4">
        <f>(E60+D60)/2</f>
        <v/>
      </c>
      <c r="F62" s="4">
        <f>(F60+E60)/2</f>
        <v/>
      </c>
      <c r="G62" s="4">
        <f>(G60+F60)/2</f>
        <v/>
      </c>
      <c r="H62" s="4">
        <f>(H60+G60)/2</f>
        <v/>
      </c>
      <c r="I62" s="4">
        <f>(I60+H60)/2</f>
        <v/>
      </c>
      <c r="J62" s="4">
        <f>(J60+I60)/2</f>
        <v/>
      </c>
    </row>
    <row r="63">
      <c r="A63" s="57" t="inlineStr">
        <is>
          <t>Scaled BS accruals</t>
        </is>
      </c>
      <c r="B63" s="63" t="inlineStr">
        <is>
          <t>n/a</t>
        </is>
      </c>
      <c r="C63" s="32">
        <f>C61/C62</f>
        <v/>
      </c>
      <c r="D63" s="32">
        <f>D61/D62</f>
        <v/>
      </c>
      <c r="E63" s="32">
        <f>E61/E62</f>
        <v/>
      </c>
      <c r="F63" s="32">
        <f>F61/F62</f>
        <v/>
      </c>
      <c r="G63" s="32">
        <f>G61/G62</f>
        <v/>
      </c>
      <c r="H63" s="32">
        <f>H61/H62</f>
        <v/>
      </c>
      <c r="I63" s="32">
        <f>I61/I62</f>
        <v/>
      </c>
      <c r="J63" s="32">
        <f>J61/J62</f>
        <v/>
      </c>
    </row>
    <row r="64">
      <c r="A64" t="inlineStr">
        <is>
          <t>Net income (quarter)</t>
        </is>
      </c>
      <c r="B64" s="4">
        <f>'Income Statement'!B46</f>
        <v/>
      </c>
      <c r="C64" s="4">
        <f>'Income Statement'!C46</f>
        <v/>
      </c>
      <c r="D64" s="4">
        <f>'Income Statement'!D46</f>
        <v/>
      </c>
      <c r="E64" s="4">
        <f>'Income Statement'!E46</f>
        <v/>
      </c>
      <c r="F64" s="4">
        <f>'Income Statement'!F46</f>
        <v/>
      </c>
      <c r="G64" s="4">
        <f>'Income Statement'!G46</f>
        <v/>
      </c>
      <c r="H64" s="4">
        <f>'Income Statement'!H46</f>
        <v/>
      </c>
      <c r="I64" s="4">
        <f>'Income Statement'!I46</f>
        <v/>
      </c>
      <c r="J64" s="4">
        <f>'Income Statement'!J46</f>
        <v/>
      </c>
    </row>
    <row r="65">
      <c r="A65" t="inlineStr">
        <is>
          <t>CFO (quarter)</t>
        </is>
      </c>
      <c r="B65" s="4">
        <f>'Cash Flow Statement'!B86</f>
        <v/>
      </c>
      <c r="C65" s="4">
        <f>'Cash Flow Statement'!C86</f>
        <v/>
      </c>
      <c r="D65" s="4">
        <f>'Cash Flow Statement'!D86</f>
        <v/>
      </c>
      <c r="E65" s="4">
        <f>'Cash Flow Statement'!E86</f>
        <v/>
      </c>
      <c r="F65" s="4">
        <f>'Cash Flow Statement'!F86</f>
        <v/>
      </c>
      <c r="G65" s="4">
        <f>'Cash Flow Statement'!G86</f>
        <v/>
      </c>
      <c r="H65" s="4">
        <f>'Cash Flow Statement'!H86</f>
        <v/>
      </c>
      <c r="I65" s="4">
        <f>'Cash Flow Statement'!I86</f>
        <v/>
      </c>
      <c r="J65" s="4">
        <f>'Cash Flow Statement'!J86</f>
        <v/>
      </c>
    </row>
    <row r="66">
      <c r="A66" t="inlineStr">
        <is>
          <t>Income accruals = NI - CFO</t>
        </is>
      </c>
      <c r="B66" s="4">
        <f>B64-B65</f>
        <v/>
      </c>
      <c r="C66" s="4">
        <f>C64-C65</f>
        <v/>
      </c>
      <c r="D66" s="4">
        <f>D64-D65</f>
        <v/>
      </c>
      <c r="E66" s="4">
        <f>E64-E65</f>
        <v/>
      </c>
      <c r="F66" s="4">
        <f>F64-F65</f>
        <v/>
      </c>
      <c r="G66" s="4">
        <f>G64-G65</f>
        <v/>
      </c>
      <c r="H66" s="4">
        <f>H64-H65</f>
        <v/>
      </c>
      <c r="I66" s="4">
        <f>I64-I65</f>
        <v/>
      </c>
      <c r="J66" s="4">
        <f>J64-J65</f>
        <v/>
      </c>
    </row>
    <row r="67">
      <c r="A67" s="57" t="inlineStr">
        <is>
          <t>Scaled income accruals</t>
        </is>
      </c>
      <c r="B67" s="63" t="inlineStr">
        <is>
          <t>n/a</t>
        </is>
      </c>
      <c r="C67" s="32">
        <f>C66/C62</f>
        <v/>
      </c>
      <c r="D67" s="32">
        <f>D66/D62</f>
        <v/>
      </c>
      <c r="E67" s="32">
        <f>E66/E62</f>
        <v/>
      </c>
      <c r="F67" s="32">
        <f>F66/F62</f>
        <v/>
      </c>
      <c r="G67" s="32">
        <f>G66/G62</f>
        <v/>
      </c>
      <c r="H67" s="32">
        <f>H66/H62</f>
        <v/>
      </c>
      <c r="I67" s="32">
        <f>I66/I62</f>
        <v/>
      </c>
      <c r="J67" s="32">
        <f>J66/J62</f>
        <v/>
      </c>
      <c r="L67" s="51" t="inlineStr">
        <is>
          <t>Q1 2026: the +$36.9B unrealized securities mark sits in NI but not CFO - income accruals spike mechanically</t>
        </is>
      </c>
    </row>
    <row r="68">
      <c r="A68" t="inlineStr">
        <is>
          <t>Cash conversion (CFO/NI)</t>
        </is>
      </c>
      <c r="B68" s="3">
        <f>IFERROR(B65/B64,"n/m")</f>
        <v/>
      </c>
      <c r="C68" s="3">
        <f>IFERROR(C65/C64,"n/m")</f>
        <v/>
      </c>
      <c r="D68" s="3">
        <f>IFERROR(D65/D64,"n/m")</f>
        <v/>
      </c>
      <c r="E68" s="3">
        <f>IFERROR(E65/E64,"n/m")</f>
        <v/>
      </c>
      <c r="F68" s="3">
        <f>IFERROR(F65/F64,"n/m")</f>
        <v/>
      </c>
      <c r="G68" s="3">
        <f>IFERROR(G65/G64,"n/m")</f>
        <v/>
      </c>
      <c r="H68" s="3">
        <f>IFERROR(H65/H64,"n/m")</f>
        <v/>
      </c>
      <c r="I68" s="3">
        <f>IFERROR(I65/I64,"n/m")</f>
        <v/>
      </c>
      <c r="J68" s="3">
        <f>IFERROR(J65/J64,"n/m")</f>
        <v/>
      </c>
    </row>
    <row r="69"/>
    <row r="70">
      <c r="A70" s="52" t="inlineStr">
        <is>
          <t>B. BENEISH M-SCORE (t vs t-4)</t>
        </is>
      </c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</row>
    <row r="71">
      <c r="A71" t="inlineStr">
        <is>
          <t>DSRI</t>
        </is>
      </c>
      <c r="B71" s="47" t="inlineStr">
        <is>
          <t>n/a</t>
        </is>
      </c>
      <c r="C71" s="47" t="inlineStr">
        <is>
          <t>n/a</t>
        </is>
      </c>
      <c r="D71" s="47" t="inlineStr">
        <is>
          <t>n/a</t>
        </is>
      </c>
      <c r="E71" s="47" t="inlineStr">
        <is>
          <t>n/a</t>
        </is>
      </c>
      <c r="F71" s="3">
        <f>IFERROR(('Balance Sheet'!F61/'Income Statement'!F34)/('Balance Sheet'!B61/'Income Statement'!B34),"n/m")</f>
        <v/>
      </c>
      <c r="G71" s="3">
        <f>IFERROR(('Balance Sheet'!G61/'Income Statement'!G34)/('Balance Sheet'!C61/'Income Statement'!C34),"n/m")</f>
        <v/>
      </c>
      <c r="H71" s="3">
        <f>IFERROR(('Balance Sheet'!H61/'Income Statement'!H34)/('Balance Sheet'!D61/'Income Statement'!D34),"n/m")</f>
        <v/>
      </c>
      <c r="I71" s="3">
        <f>IFERROR(('Balance Sheet'!I61/'Income Statement'!I34)/('Balance Sheet'!E61/'Income Statement'!E34),"n/m")</f>
        <v/>
      </c>
      <c r="J71" s="3">
        <f>IFERROR(('Balance Sheet'!J61/'Income Statement'!J34)/('Balance Sheet'!F61/'Income Statement'!F34),"n/m")</f>
        <v/>
      </c>
    </row>
    <row r="72">
      <c r="A72" t="inlineStr">
        <is>
          <t>GMI</t>
        </is>
      </c>
      <c r="B72" s="47" t="inlineStr">
        <is>
          <t>n/a</t>
        </is>
      </c>
      <c r="C72" s="47" t="inlineStr">
        <is>
          <t>n/a</t>
        </is>
      </c>
      <c r="D72" s="47" t="inlineStr">
        <is>
          <t>n/a</t>
        </is>
      </c>
      <c r="E72" s="47" t="inlineStr">
        <is>
          <t>n/a</t>
        </is>
      </c>
      <c r="F72" s="3">
        <f>IFERROR(('Income Statement'!B36/'Income Statement'!B34)/('Income Statement'!F36/'Income Statement'!F34),"n/m")</f>
        <v/>
      </c>
      <c r="G72" s="3">
        <f>IFERROR(('Income Statement'!C36/'Income Statement'!C34)/('Income Statement'!G36/'Income Statement'!G34),"n/m")</f>
        <v/>
      </c>
      <c r="H72" s="3">
        <f>IFERROR(('Income Statement'!D36/'Income Statement'!D34)/('Income Statement'!H36/'Income Statement'!H34),"n/m")</f>
        <v/>
      </c>
      <c r="I72" s="3">
        <f>IFERROR(('Income Statement'!E36/'Income Statement'!E34)/('Income Statement'!I36/'Income Statement'!I34),"n/m")</f>
        <v/>
      </c>
      <c r="J72" s="3">
        <f>IFERROR(('Income Statement'!F36/'Income Statement'!F34)/('Income Statement'!J36/'Income Statement'!J34),"n/m")</f>
        <v/>
      </c>
    </row>
    <row r="73">
      <c r="A73" t="inlineStr">
        <is>
          <t>AQI</t>
        </is>
      </c>
      <c r="B73" s="47" t="inlineStr">
        <is>
          <t>n/a</t>
        </is>
      </c>
      <c r="C73" s="47" t="inlineStr">
        <is>
          <t>n/a</t>
        </is>
      </c>
      <c r="D73" s="47" t="inlineStr">
        <is>
          <t>n/a</t>
        </is>
      </c>
      <c r="E73" s="47" t="inlineStr">
        <is>
          <t>n/a</t>
        </is>
      </c>
      <c r="F73" s="3">
        <f>IFERROR((1-('Balance Sheet'!F65+'Balance Sheet'!F70)/'Balance Sheet'!F75)/(1-('Balance Sheet'!B65+'Balance Sheet'!B70)/'Balance Sheet'!B75),"n/m")</f>
        <v/>
      </c>
      <c r="G73" s="3">
        <f>IFERROR((1-('Balance Sheet'!G65+'Balance Sheet'!G70)/'Balance Sheet'!G75)/(1-('Balance Sheet'!C65+'Balance Sheet'!C70)/'Balance Sheet'!C75),"n/m")</f>
        <v/>
      </c>
      <c r="H73" s="3">
        <f>IFERROR((1-('Balance Sheet'!H65+'Balance Sheet'!H70)/'Balance Sheet'!H75)/(1-('Balance Sheet'!D65+'Balance Sheet'!D70)/'Balance Sheet'!D75),"n/m")</f>
        <v/>
      </c>
      <c r="I73" s="3">
        <f>IFERROR((1-('Balance Sheet'!I65+'Balance Sheet'!I70)/'Balance Sheet'!I75)/(1-('Balance Sheet'!E65+'Balance Sheet'!E70)/'Balance Sheet'!E75),"n/m")</f>
        <v/>
      </c>
      <c r="J73" s="3">
        <f>IFERROR((1-('Balance Sheet'!J65+'Balance Sheet'!J70)/'Balance Sheet'!J75)/(1-('Balance Sheet'!F65+'Balance Sheet'!F70)/'Balance Sheet'!F75),"n/m")</f>
        <v/>
      </c>
    </row>
    <row r="74">
      <c r="A74" t="inlineStr">
        <is>
          <t>SGI</t>
        </is>
      </c>
      <c r="B74" s="47" t="inlineStr">
        <is>
          <t>n/a</t>
        </is>
      </c>
      <c r="C74" s="47" t="inlineStr">
        <is>
          <t>n/a</t>
        </is>
      </c>
      <c r="D74" s="47" t="inlineStr">
        <is>
          <t>n/a</t>
        </is>
      </c>
      <c r="E74" s="47" t="inlineStr">
        <is>
          <t>n/a</t>
        </is>
      </c>
      <c r="F74" s="3">
        <f>'Income Statement'!F34/'Income Statement'!B34</f>
        <v/>
      </c>
      <c r="G74" s="3">
        <f>'Income Statement'!G34/'Income Statement'!C34</f>
        <v/>
      </c>
      <c r="H74" s="3">
        <f>'Income Statement'!H34/'Income Statement'!D34</f>
        <v/>
      </c>
      <c r="I74" s="3">
        <f>'Income Statement'!I34/'Income Statement'!E34</f>
        <v/>
      </c>
      <c r="J74" s="3">
        <f>'Income Statement'!J34/'Income Statement'!F34</f>
        <v/>
      </c>
    </row>
    <row r="75">
      <c r="A75" t="inlineStr">
        <is>
          <t>DEPI</t>
        </is>
      </c>
      <c r="B75" s="47" t="inlineStr">
        <is>
          <t>n/a</t>
        </is>
      </c>
      <c r="C75" s="47" t="inlineStr">
        <is>
          <t>n/a</t>
        </is>
      </c>
      <c r="D75" s="47" t="inlineStr">
        <is>
          <t>n/a</t>
        </is>
      </c>
      <c r="E75" s="47" t="inlineStr">
        <is>
          <t>n/a</t>
        </is>
      </c>
      <c r="F75" s="3">
        <f>IFERROR(((N('Cash Flow Statement'!B70)+N('Cash Flow Statement'!B71)+N('Cash Flow Statement'!B72))/((N('Cash Flow Statement'!B70)+N('Cash Flow Statement'!B71)+N('Cash Flow Statement'!B72))+'Balance Sheet'!B70))/((N('Cash Flow Statement'!F70)+N('Cash Flow Statement'!F71)+N('Cash Flow Statement'!F72))/((N('Cash Flow Statement'!F70)+N('Cash Flow Statement'!F71)+N('Cash Flow Statement'!F72))+'Balance Sheet'!F70)),"n/m")</f>
        <v/>
      </c>
      <c r="G75" s="3">
        <f>IFERROR(((N('Cash Flow Statement'!C70)+N('Cash Flow Statement'!C71)+N('Cash Flow Statement'!C72))/((N('Cash Flow Statement'!C70)+N('Cash Flow Statement'!C71)+N('Cash Flow Statement'!C72))+'Balance Sheet'!C70))/((N('Cash Flow Statement'!G70)+N('Cash Flow Statement'!G71)+N('Cash Flow Statement'!G72))/((N('Cash Flow Statement'!G70)+N('Cash Flow Statement'!G71)+N('Cash Flow Statement'!G72))+'Balance Sheet'!G70)),"n/m")</f>
        <v/>
      </c>
      <c r="H75" s="3">
        <f>IFERROR(((N('Cash Flow Statement'!D70)+N('Cash Flow Statement'!D71)+N('Cash Flow Statement'!D72))/((N('Cash Flow Statement'!D70)+N('Cash Flow Statement'!D71)+N('Cash Flow Statement'!D72))+'Balance Sheet'!D70))/((N('Cash Flow Statement'!H70)+N('Cash Flow Statement'!H71)+N('Cash Flow Statement'!H72))/((N('Cash Flow Statement'!H70)+N('Cash Flow Statement'!H71)+N('Cash Flow Statement'!H72))+'Balance Sheet'!H70)),"n/m")</f>
        <v/>
      </c>
      <c r="I75" s="3">
        <f>IFERROR(((N('Cash Flow Statement'!E70)+N('Cash Flow Statement'!E71)+N('Cash Flow Statement'!E72))/((N('Cash Flow Statement'!E70)+N('Cash Flow Statement'!E71)+N('Cash Flow Statement'!E72))+'Balance Sheet'!E70))/((N('Cash Flow Statement'!I70)+N('Cash Flow Statement'!I71)+N('Cash Flow Statement'!I72))/((N('Cash Flow Statement'!I70)+N('Cash Flow Statement'!I71)+N('Cash Flow Statement'!I72))+'Balance Sheet'!I70)),"n/m")</f>
        <v/>
      </c>
      <c r="J75" s="3">
        <f>IFERROR(((N('Cash Flow Statement'!F70)+N('Cash Flow Statement'!F71)+N('Cash Flow Statement'!F72))/((N('Cash Flow Statement'!F70)+N('Cash Flow Statement'!F71)+N('Cash Flow Statement'!F72))+'Balance Sheet'!F70))/((N('Cash Flow Statement'!J70)+N('Cash Flow Statement'!J71)+N('Cash Flow Statement'!J72))/((N('Cash Flow Statement'!J70)+N('Cash Flow Statement'!J71)+N('Cash Flow Statement'!J72))+'Balance Sheet'!J70)),"n/m")</f>
        <v/>
      </c>
    </row>
    <row r="76">
      <c r="A76" t="inlineStr">
        <is>
          <t>SGAI</t>
        </is>
      </c>
      <c r="B76" s="47" t="inlineStr">
        <is>
          <t>n/a</t>
        </is>
      </c>
      <c r="C76" s="47" t="inlineStr">
        <is>
          <t>n/a</t>
        </is>
      </c>
      <c r="D76" s="47" t="inlineStr">
        <is>
          <t>n/a</t>
        </is>
      </c>
      <c r="E76" s="47" t="inlineStr">
        <is>
          <t>n/a</t>
        </is>
      </c>
      <c r="F76" s="3">
        <f>IFERROR(((ABS('Income Statement'!F38)+ABS('Income Statement'!F39))/'Income Statement'!F34)/((ABS('Income Statement'!B38)+ABS('Income Statement'!B39))/'Income Statement'!B34),"n/m")</f>
        <v/>
      </c>
      <c r="G76" s="3">
        <f>IFERROR(((ABS('Income Statement'!G38)+ABS('Income Statement'!G39))/'Income Statement'!G34)/((ABS('Income Statement'!C38)+ABS('Income Statement'!C39))/'Income Statement'!C34),"n/m")</f>
        <v/>
      </c>
      <c r="H76" s="3">
        <f>IFERROR(((ABS('Income Statement'!H38)+ABS('Income Statement'!H39))/'Income Statement'!H34)/((ABS('Income Statement'!D38)+ABS('Income Statement'!D39))/'Income Statement'!D34),"n/m")</f>
        <v/>
      </c>
      <c r="I76" s="3">
        <f>IFERROR(((ABS('Income Statement'!I38)+ABS('Income Statement'!I39))/'Income Statement'!I34)/((ABS('Income Statement'!E38)+ABS('Income Statement'!E39))/'Income Statement'!E34),"n/m")</f>
        <v/>
      </c>
      <c r="J76" s="3">
        <f>IFERROR(((ABS('Income Statement'!J38)+ABS('Income Statement'!J39))/'Income Statement'!J34)/((ABS('Income Statement'!F38)+ABS('Income Statement'!F39))/'Income Statement'!F34),"n/m")</f>
        <v/>
      </c>
    </row>
    <row r="77">
      <c r="A77" t="inlineStr">
        <is>
          <t>LVGI</t>
        </is>
      </c>
      <c r="B77" s="47" t="inlineStr">
        <is>
          <t>n/a</t>
        </is>
      </c>
      <c r="C77" s="47" t="inlineStr">
        <is>
          <t>n/a</t>
        </is>
      </c>
      <c r="D77" s="47" t="inlineStr">
        <is>
          <t>n/a</t>
        </is>
      </c>
      <c r="E77" s="47" t="inlineStr">
        <is>
          <t>n/a</t>
        </is>
      </c>
      <c r="F77" s="3">
        <f>IFERROR((('Balance Sheet'!F84+'Balance Sheet'!F87)/'Balance Sheet'!F75)/(('Balance Sheet'!B84+'Balance Sheet'!B87)/'Balance Sheet'!B75),"n/m")</f>
        <v/>
      </c>
      <c r="G77" s="3">
        <f>IFERROR((('Balance Sheet'!G84+'Balance Sheet'!G87)/'Balance Sheet'!G75)/(('Balance Sheet'!C84+'Balance Sheet'!C87)/'Balance Sheet'!C75),"n/m")</f>
        <v/>
      </c>
      <c r="H77" s="3">
        <f>IFERROR((('Balance Sheet'!H84+'Balance Sheet'!H87)/'Balance Sheet'!H75)/(('Balance Sheet'!D84+'Balance Sheet'!D87)/'Balance Sheet'!D75),"n/m")</f>
        <v/>
      </c>
      <c r="I77" s="3">
        <f>IFERROR((('Balance Sheet'!I84+'Balance Sheet'!I87)/'Balance Sheet'!I75)/(('Balance Sheet'!E84+'Balance Sheet'!E87)/'Balance Sheet'!E75),"n/m")</f>
        <v/>
      </c>
      <c r="J77" s="3">
        <f>IFERROR((('Balance Sheet'!J84+'Balance Sheet'!J87)/'Balance Sheet'!J75)/(('Balance Sheet'!F84+'Balance Sheet'!F87)/'Balance Sheet'!F75),"n/m")</f>
        <v/>
      </c>
    </row>
    <row r="78">
      <c r="A78" t="inlineStr">
        <is>
          <t>TATA (quarter)</t>
        </is>
      </c>
      <c r="B78" s="64">
        <f>(B64-B65)/'Balance Sheet'!B75</f>
        <v/>
      </c>
      <c r="C78" s="64">
        <f>(C64-C65)/'Balance Sheet'!C75</f>
        <v/>
      </c>
      <c r="D78" s="64">
        <f>(D64-D65)/'Balance Sheet'!D75</f>
        <v/>
      </c>
      <c r="E78" s="64">
        <f>(E64-E65)/'Balance Sheet'!E75</f>
        <v/>
      </c>
      <c r="F78" s="64">
        <f>(F64-F65)/'Balance Sheet'!F75</f>
        <v/>
      </c>
      <c r="G78" s="64">
        <f>(G64-G65)/'Balance Sheet'!G75</f>
        <v/>
      </c>
      <c r="H78" s="64">
        <f>(H64-H65)/'Balance Sheet'!H75</f>
        <v/>
      </c>
      <c r="I78" s="64">
        <f>(I64-I65)/'Balance Sheet'!I75</f>
        <v/>
      </c>
      <c r="J78" s="64">
        <f>(J64-J65)/'Balance Sheet'!J75</f>
        <v/>
      </c>
    </row>
    <row r="79">
      <c r="A79" s="57" t="inlineStr">
        <is>
          <t>M-SCORE (YoY-quarterly)</t>
        </is>
      </c>
      <c r="B79" s="63" t="inlineStr">
        <is>
          <t>n/a</t>
        </is>
      </c>
      <c r="C79" s="63" t="inlineStr">
        <is>
          <t>n/a</t>
        </is>
      </c>
      <c r="D79" s="63" t="inlineStr">
        <is>
          <t>n/a</t>
        </is>
      </c>
      <c r="E79" s="63" t="inlineStr">
        <is>
          <t>n/a</t>
        </is>
      </c>
      <c r="F79" s="42">
        <f>IFERROR(-4.84+0.92*F71+0.528*F72+0.404*F73+0.892*F74+0.115*F75-0.172*F76+4.679*F78-0.327*F77,"n/m")</f>
        <v/>
      </c>
      <c r="G79" s="42">
        <f>IFERROR(-4.84+0.92*G71+0.528*G72+0.404*G73+0.892*G74+0.115*G75-0.172*G76+4.679*G78-0.327*G77,"n/m")</f>
        <v/>
      </c>
      <c r="H79" s="42">
        <f>IFERROR(-4.84+0.92*H71+0.528*H72+0.404*H73+0.892*H74+0.115*H75-0.172*H76+4.679*H78-0.327*H77,"n/m")</f>
        <v/>
      </c>
      <c r="I79" s="42">
        <f>IFERROR(-4.84+0.92*I71+0.528*I72+0.404*I73+0.892*I74+0.115*I75-0.172*I76+4.679*I78-0.327*I77,"n/m")</f>
        <v/>
      </c>
      <c r="J79" s="42">
        <f>IFERROR(-4.84+0.92*J71+0.528*J72+0.404*J73+0.892*J74+0.115*J75-0.172*J76+4.679*J78-0.327*J77,"n/m")</f>
        <v/>
      </c>
    </row>
    <row r="80">
      <c r="A80" t="inlineStr">
        <is>
          <t>Verdict</t>
        </is>
      </c>
      <c r="B80" s="47" t="inlineStr">
        <is>
          <t>n/a</t>
        </is>
      </c>
      <c r="C80" s="47" t="inlineStr">
        <is>
          <t>n/a</t>
        </is>
      </c>
      <c r="D80" s="47" t="inlineStr">
        <is>
          <t>n/a</t>
        </is>
      </c>
      <c r="E80" s="47" t="inlineStr">
        <is>
          <t>n/a</t>
        </is>
      </c>
      <c r="F80">
        <f>IF(NOT(ISNUMBER(F79)),"n/m",IF(F79&gt;-1.78,"FLAG",IF(F79&gt;-2.22,"grey","ok")))</f>
        <v/>
      </c>
      <c r="G80">
        <f>IF(NOT(ISNUMBER(G79)),"n/m",IF(G79&gt;-1.78,"FLAG",IF(G79&gt;-2.22,"grey","ok")))</f>
        <v/>
      </c>
      <c r="H80">
        <f>IF(NOT(ISNUMBER(H79)),"n/m",IF(H79&gt;-1.78,"FLAG",IF(H79&gt;-2.22,"grey","ok")))</f>
        <v/>
      </c>
      <c r="I80">
        <f>IF(NOT(ISNUMBER(I79)),"n/m",IF(I79&gt;-1.78,"FLAG",IF(I79&gt;-2.22,"grey","ok")))</f>
        <v/>
      </c>
      <c r="J80">
        <f>IF(NOT(ISNUMBER(J79)),"n/m",IF(J79&gt;-1.78,"FLAG",IF(J79&gt;-2.22,"grey","ok")))</f>
        <v/>
      </c>
      <c r="L80" s="51" t="inlineStr">
        <is>
          <t>Quarterly Beneish is non-standard (model fit on annual data); YoY quarters control seasonality but the Q1 2026 TATA spike is the unrealized securities mark, not working-capital accrual</t>
        </is>
      </c>
    </row>
    <row r="81"/>
    <row r="82">
      <c r="A82" s="52" t="inlineStr">
        <is>
          <t>C. PIOTROSKI F-SCORE (t vs t-4)</t>
        </is>
      </c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</row>
    <row r="83">
      <c r="A83" t="inlineStr">
        <is>
          <t>1. ROA &gt; 0</t>
        </is>
      </c>
      <c r="B83" s="47" t="inlineStr">
        <is>
          <t>n/a</t>
        </is>
      </c>
      <c r="C83" s="28">
        <f>IF(('Income Statement'!C46/(('Balance Sheet'!C75+'Balance Sheet'!B75)/2))&gt;0,1,0)</f>
        <v/>
      </c>
      <c r="D83" s="28">
        <f>IF(('Income Statement'!D46/(('Balance Sheet'!D75+'Balance Sheet'!C75)/2))&gt;0,1,0)</f>
        <v/>
      </c>
      <c r="E83" s="28">
        <f>IF(('Income Statement'!E46/(('Balance Sheet'!E75+'Balance Sheet'!D75)/2))&gt;0,1,0)</f>
        <v/>
      </c>
      <c r="F83" s="28">
        <f>IF(('Income Statement'!F46/(('Balance Sheet'!F75+'Balance Sheet'!E75)/2))&gt;0,1,0)</f>
        <v/>
      </c>
      <c r="G83" s="28">
        <f>IF(('Income Statement'!G46/(('Balance Sheet'!G75+'Balance Sheet'!F75)/2))&gt;0,1,0)</f>
        <v/>
      </c>
      <c r="H83" s="28">
        <f>IF(('Income Statement'!H46/(('Balance Sheet'!H75+'Balance Sheet'!G75)/2))&gt;0,1,0)</f>
        <v/>
      </c>
      <c r="I83" s="28">
        <f>IF(('Income Statement'!I46/(('Balance Sheet'!I75+'Balance Sheet'!H75)/2))&gt;0,1,0)</f>
        <v/>
      </c>
      <c r="J83" s="28">
        <f>IF(('Income Statement'!J46/(('Balance Sheet'!J75+'Balance Sheet'!I75)/2))&gt;0,1,0)</f>
        <v/>
      </c>
    </row>
    <row r="84">
      <c r="A84" t="inlineStr">
        <is>
          <t>2. CFO &gt; 0</t>
        </is>
      </c>
      <c r="B84" s="28">
        <f>IF('Cash Flow Statement'!B86&gt;0,1,0)</f>
        <v/>
      </c>
      <c r="C84" s="28">
        <f>IF('Cash Flow Statement'!C86&gt;0,1,0)</f>
        <v/>
      </c>
      <c r="D84" s="28">
        <f>IF('Cash Flow Statement'!D86&gt;0,1,0)</f>
        <v/>
      </c>
      <c r="E84" s="28">
        <f>IF('Cash Flow Statement'!E86&gt;0,1,0)</f>
        <v/>
      </c>
      <c r="F84" s="28">
        <f>IF('Cash Flow Statement'!F86&gt;0,1,0)</f>
        <v/>
      </c>
      <c r="G84" s="28">
        <f>IF('Cash Flow Statement'!G86&gt;0,1,0)</f>
        <v/>
      </c>
      <c r="H84" s="28">
        <f>IF('Cash Flow Statement'!H86&gt;0,1,0)</f>
        <v/>
      </c>
      <c r="I84" s="28">
        <f>IF('Cash Flow Statement'!I86&gt;0,1,0)</f>
        <v/>
      </c>
      <c r="J84" s="28">
        <f>IF('Cash Flow Statement'!J86&gt;0,1,0)</f>
        <v/>
      </c>
    </row>
    <row r="85">
      <c r="A85" t="inlineStr">
        <is>
          <t>3. dROA &gt; 0 (YoY)</t>
        </is>
      </c>
      <c r="B85" s="47" t="inlineStr">
        <is>
          <t>n/a</t>
        </is>
      </c>
      <c r="C85" s="47" t="inlineStr">
        <is>
          <t>n/a</t>
        </is>
      </c>
      <c r="D85" s="47" t="inlineStr">
        <is>
          <t>n/a</t>
        </is>
      </c>
      <c r="E85" s="47" t="inlineStr">
        <is>
          <t>n/a</t>
        </is>
      </c>
      <c r="F85" s="47" t="inlineStr">
        <is>
          <t>n/a</t>
        </is>
      </c>
      <c r="G85" s="28">
        <f>IF(('Income Statement'!G46/(('Balance Sheet'!G75+'Balance Sheet'!F75)/2))&gt;('Income Statement'!C46/(('Balance Sheet'!C75+'Balance Sheet'!B75)/2)),1,0)</f>
        <v/>
      </c>
      <c r="H85" s="28">
        <f>IF(('Income Statement'!H46/(('Balance Sheet'!H75+'Balance Sheet'!G75)/2))&gt;('Income Statement'!D46/(('Balance Sheet'!D75+'Balance Sheet'!C75)/2)),1,0)</f>
        <v/>
      </c>
      <c r="I85" s="28">
        <f>IF(('Income Statement'!I46/(('Balance Sheet'!I75+'Balance Sheet'!H75)/2))&gt;('Income Statement'!E46/(('Balance Sheet'!E75+'Balance Sheet'!D75)/2)),1,0)</f>
        <v/>
      </c>
      <c r="J85" s="28">
        <f>IF(('Income Statement'!J46/(('Balance Sheet'!J75+'Balance Sheet'!I75)/2))&gt;('Income Statement'!F46/(('Balance Sheet'!F75+'Balance Sheet'!E75)/2)),1,0)</f>
        <v/>
      </c>
    </row>
    <row r="86">
      <c r="A86" t="inlineStr">
        <is>
          <t>4. CFO &gt; NI</t>
        </is>
      </c>
      <c r="B86" s="28">
        <f>IF('Cash Flow Statement'!B86&gt;'Income Statement'!B46,1,0)</f>
        <v/>
      </c>
      <c r="C86" s="28">
        <f>IF('Cash Flow Statement'!C86&gt;'Income Statement'!C46,1,0)</f>
        <v/>
      </c>
      <c r="D86" s="28">
        <f>IF('Cash Flow Statement'!D86&gt;'Income Statement'!D46,1,0)</f>
        <v/>
      </c>
      <c r="E86" s="28">
        <f>IF('Cash Flow Statement'!E86&gt;'Income Statement'!E46,1,0)</f>
        <v/>
      </c>
      <c r="F86" s="28">
        <f>IF('Cash Flow Statement'!F86&gt;'Income Statement'!F46,1,0)</f>
        <v/>
      </c>
      <c r="G86" s="28">
        <f>IF('Cash Flow Statement'!G86&gt;'Income Statement'!G46,1,0)</f>
        <v/>
      </c>
      <c r="H86" s="28">
        <f>IF('Cash Flow Statement'!H86&gt;'Income Statement'!H46,1,0)</f>
        <v/>
      </c>
      <c r="I86" s="28">
        <f>IF('Cash Flow Statement'!I86&gt;'Income Statement'!I46,1,0)</f>
        <v/>
      </c>
      <c r="J86" s="28">
        <f>IF('Cash Flow Statement'!J86&gt;'Income Statement'!J46,1,0)</f>
        <v/>
      </c>
    </row>
    <row r="87">
      <c r="A87" t="inlineStr">
        <is>
          <t>5. dLeverage &lt; 0 (YoY)</t>
        </is>
      </c>
      <c r="B87" s="47" t="inlineStr">
        <is>
          <t>n/a</t>
        </is>
      </c>
      <c r="C87" s="47" t="inlineStr">
        <is>
          <t>n/a</t>
        </is>
      </c>
      <c r="D87" s="47" t="inlineStr">
        <is>
          <t>n/a</t>
        </is>
      </c>
      <c r="E87" s="47" t="inlineStr">
        <is>
          <t>n/a</t>
        </is>
      </c>
      <c r="F87" s="28">
        <f>IF(('Balance Sheet'!F87/'Balance Sheet'!F75)&lt;('Balance Sheet'!B87/'Balance Sheet'!B75),1,0)</f>
        <v/>
      </c>
      <c r="G87" s="28">
        <f>IF(('Balance Sheet'!G87/'Balance Sheet'!G75)&lt;('Balance Sheet'!C87/'Balance Sheet'!C75),1,0)</f>
        <v/>
      </c>
      <c r="H87" s="28">
        <f>IF(('Balance Sheet'!H87/'Balance Sheet'!H75)&lt;('Balance Sheet'!D87/'Balance Sheet'!D75),1,0)</f>
        <v/>
      </c>
      <c r="I87" s="28">
        <f>IF(('Balance Sheet'!I87/'Balance Sheet'!I75)&lt;('Balance Sheet'!E87/'Balance Sheet'!E75),1,0)</f>
        <v/>
      </c>
      <c r="J87" s="28">
        <f>IF(('Balance Sheet'!J87/'Balance Sheet'!J75)&lt;('Balance Sheet'!F87/'Balance Sheet'!F75),1,0)</f>
        <v/>
      </c>
    </row>
    <row r="88">
      <c r="A88" t="inlineStr">
        <is>
          <t>6. dCurrent ratio &gt; 0 (YoY)</t>
        </is>
      </c>
      <c r="B88" s="47" t="inlineStr">
        <is>
          <t>n/a</t>
        </is>
      </c>
      <c r="C88" s="47" t="inlineStr">
        <is>
          <t>n/a</t>
        </is>
      </c>
      <c r="D88" s="47" t="inlineStr">
        <is>
          <t>n/a</t>
        </is>
      </c>
      <c r="E88" s="47" t="inlineStr">
        <is>
          <t>n/a</t>
        </is>
      </c>
      <c r="F88" s="28">
        <f>IF(('Balance Sheet'!F65/'Balance Sheet'!F84)&gt;('Balance Sheet'!B65/'Balance Sheet'!B84),1,0)</f>
        <v/>
      </c>
      <c r="G88" s="28">
        <f>IF(('Balance Sheet'!G65/'Balance Sheet'!G84)&gt;('Balance Sheet'!C65/'Balance Sheet'!C84),1,0)</f>
        <v/>
      </c>
      <c r="H88" s="28">
        <f>IF(('Balance Sheet'!H65/'Balance Sheet'!H84)&gt;('Balance Sheet'!D65/'Balance Sheet'!D84),1,0)</f>
        <v/>
      </c>
      <c r="I88" s="28">
        <f>IF(('Balance Sheet'!I65/'Balance Sheet'!I84)&gt;('Balance Sheet'!E65/'Balance Sheet'!E84),1,0)</f>
        <v/>
      </c>
      <c r="J88" s="28">
        <f>IF(('Balance Sheet'!J65/'Balance Sheet'!J84)&gt;('Balance Sheet'!F65/'Balance Sheet'!F84),1,0)</f>
        <v/>
      </c>
    </row>
    <row r="89">
      <c r="A89" t="inlineStr">
        <is>
          <t>7. No dilution (YoY; n/a derived Q4s)</t>
        </is>
      </c>
      <c r="B89" s="47" t="inlineStr">
        <is>
          <t>n/a</t>
        </is>
      </c>
      <c r="C89" s="47" t="inlineStr">
        <is>
          <t>n/a</t>
        </is>
      </c>
      <c r="D89" s="47" t="inlineStr">
        <is>
          <t>n/a</t>
        </is>
      </c>
      <c r="E89" s="47" t="inlineStr">
        <is>
          <t>n/a</t>
        </is>
      </c>
      <c r="F89" s="28">
        <f>IF(AND(ISNUMBER('Income Statement'!F51),ISNUMBER('Income Statement'!B51)),IF('Income Statement'!F51&lt;='Income Statement'!B51,1,0),"n/a")</f>
        <v/>
      </c>
      <c r="G89" s="28">
        <f>IF(AND(ISNUMBER('Income Statement'!G51),ISNUMBER('Income Statement'!C51)),IF('Income Statement'!G51&lt;='Income Statement'!C51,1,0),"n/a")</f>
        <v/>
      </c>
      <c r="H89" s="28">
        <f>IF(AND(ISNUMBER('Income Statement'!H51),ISNUMBER('Income Statement'!D51)),IF('Income Statement'!H51&lt;='Income Statement'!D51,1,0),"n/a")</f>
        <v/>
      </c>
      <c r="I89" s="28">
        <f>IF(AND(ISNUMBER('Income Statement'!I51),ISNUMBER('Income Statement'!E51)),IF('Income Statement'!I51&lt;='Income Statement'!E51,1,0),"n/a")</f>
        <v/>
      </c>
      <c r="J89" s="28">
        <f>IF(AND(ISNUMBER('Income Statement'!J51),ISNUMBER('Income Statement'!F51)),IF('Income Statement'!J51&lt;='Income Statement'!F51,1,0),"n/a")</f>
        <v/>
      </c>
    </row>
    <row r="90">
      <c r="A90" t="inlineStr">
        <is>
          <t>8. dGM% &gt; 0 (YoY)</t>
        </is>
      </c>
      <c r="B90" s="47" t="inlineStr">
        <is>
          <t>n/a</t>
        </is>
      </c>
      <c r="C90" s="47" t="inlineStr">
        <is>
          <t>n/a</t>
        </is>
      </c>
      <c r="D90" s="47" t="inlineStr">
        <is>
          <t>n/a</t>
        </is>
      </c>
      <c r="E90" s="47" t="inlineStr">
        <is>
          <t>n/a</t>
        </is>
      </c>
      <c r="F90" s="28">
        <f>IF(('Income Statement'!F36/'Income Statement'!F34)&gt;('Income Statement'!B36/'Income Statement'!B34),1,0)</f>
        <v/>
      </c>
      <c r="G90" s="28">
        <f>IF(('Income Statement'!G36/'Income Statement'!G34)&gt;('Income Statement'!C36/'Income Statement'!C34),1,0)</f>
        <v/>
      </c>
      <c r="H90" s="28">
        <f>IF(('Income Statement'!H36/'Income Statement'!H34)&gt;('Income Statement'!D36/'Income Statement'!D34),1,0)</f>
        <v/>
      </c>
      <c r="I90" s="28">
        <f>IF(('Income Statement'!I36/'Income Statement'!I34)&gt;('Income Statement'!E36/'Income Statement'!E34),1,0)</f>
        <v/>
      </c>
      <c r="J90" s="28">
        <f>IF(('Income Statement'!J36/'Income Statement'!J34)&gt;('Income Statement'!F36/'Income Statement'!F34),1,0)</f>
        <v/>
      </c>
    </row>
    <row r="91">
      <c r="A91" t="inlineStr">
        <is>
          <t>9. dATO &gt; 0 (YoY)</t>
        </is>
      </c>
      <c r="B91" s="47" t="inlineStr">
        <is>
          <t>n/a</t>
        </is>
      </c>
      <c r="C91" s="47" t="inlineStr">
        <is>
          <t>n/a</t>
        </is>
      </c>
      <c r="D91" s="47" t="inlineStr">
        <is>
          <t>n/a</t>
        </is>
      </c>
      <c r="E91" s="47" t="inlineStr">
        <is>
          <t>n/a</t>
        </is>
      </c>
      <c r="F91" s="47" t="inlineStr">
        <is>
          <t>n/a</t>
        </is>
      </c>
      <c r="G91" s="28">
        <f>IF(('Income Statement'!G34/(('Balance Sheet'!G75+'Balance Sheet'!F75)/2))&gt;('Income Statement'!C34/(('Balance Sheet'!C75+'Balance Sheet'!B75)/2)),1,0)</f>
        <v/>
      </c>
      <c r="H91" s="28">
        <f>IF(('Income Statement'!H34/(('Balance Sheet'!H75+'Balance Sheet'!G75)/2))&gt;('Income Statement'!D34/(('Balance Sheet'!D75+'Balance Sheet'!C75)/2)),1,0)</f>
        <v/>
      </c>
      <c r="I91" s="28">
        <f>IF(('Income Statement'!I34/(('Balance Sheet'!I75+'Balance Sheet'!H75)/2))&gt;('Income Statement'!E34/(('Balance Sheet'!E75+'Balance Sheet'!D75)/2)),1,0)</f>
        <v/>
      </c>
      <c r="J91" s="28">
        <f>IF(('Income Statement'!J34/(('Balance Sheet'!J75+'Balance Sheet'!I75)/2))&gt;('Income Statement'!F34/(('Balance Sheet'!F75+'Balance Sheet'!E75)/2)),1,0)</f>
        <v/>
      </c>
    </row>
    <row r="92">
      <c r="A92" s="57" t="inlineStr">
        <is>
          <t>F-SCORE (of signals available)</t>
        </is>
      </c>
      <c r="B92" s="65">
        <f>SUM(B83:B91)</f>
        <v/>
      </c>
      <c r="C92" s="65">
        <f>SUM(C83:C91)</f>
        <v/>
      </c>
      <c r="D92" s="65">
        <f>SUM(D83:D91)</f>
        <v/>
      </c>
      <c r="E92" s="65">
        <f>SUM(E83:E91)</f>
        <v/>
      </c>
      <c r="F92" s="65">
        <f>SUM(F83:F91)</f>
        <v/>
      </c>
      <c r="G92" s="65">
        <f>SUM(G83:G91)</f>
        <v/>
      </c>
      <c r="H92" s="65">
        <f>SUM(H83:H91)</f>
        <v/>
      </c>
      <c r="I92" s="65">
        <f>SUM(I83:I91)</f>
        <v/>
      </c>
      <c r="J92" s="65">
        <f>SUM(J83:J91)</f>
        <v/>
      </c>
    </row>
    <row r="93">
      <c r="A93" t="inlineStr">
        <is>
          <t>Verdict (&lt;=3 weak; &gt;=8 strong; 9 signals only from t-4+1)</t>
        </is>
      </c>
      <c r="B93" s="47" t="inlineStr">
        <is>
          <t>n/a</t>
        </is>
      </c>
      <c r="C93" s="47" t="inlineStr">
        <is>
          <t>n/a</t>
        </is>
      </c>
      <c r="D93" s="47" t="inlineStr">
        <is>
          <t>n/a</t>
        </is>
      </c>
      <c r="E93" s="47" t="inlineStr">
        <is>
          <t>n/a</t>
        </is>
      </c>
      <c r="F93" s="47" t="inlineStr">
        <is>
          <t>n/a</t>
        </is>
      </c>
      <c r="G93">
        <f>IF(G92&lt;=3,"WEAK",IF(G92&gt;=8,"strong","mid"))</f>
        <v/>
      </c>
      <c r="H93">
        <f>IF(H92&lt;=3,"WEAK",IF(H92&gt;=8,"strong","mid"))</f>
        <v/>
      </c>
      <c r="I93">
        <f>IF(I92&lt;=3,"WEAK",IF(I92&gt;=8,"strong","mid"))</f>
        <v/>
      </c>
      <c r="J93">
        <f>IF(J92&lt;=3,"WEAK",IF(J92&gt;=8,"strong","mid"))</f>
        <v/>
      </c>
    </row>
    <row r="94"/>
    <row r="95">
      <c r="A95" s="52" t="inlineStr">
        <is>
          <t>D. BENFORD'S LAW (per 10-Q; derived Q4 columns have no filing)</t>
        </is>
      </c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</row>
    <row r="96"/>
    <row r="97">
      <c r="A97" t="inlineStr">
        <is>
          <t>Filing (10-Q accession)</t>
        </is>
      </c>
      <c r="B97" s="66" t="inlineStr">
        <is>
          <t>0001652044-24-000053</t>
        </is>
      </c>
      <c r="C97" s="66" t="inlineStr">
        <is>
          <t>0001652044-24-000079</t>
        </is>
      </c>
      <c r="D97" s="66" t="inlineStr">
        <is>
          <t>0001652044-24-000118</t>
        </is>
      </c>
      <c r="F97" s="66" t="inlineStr">
        <is>
          <t>0001652044-25-000043</t>
        </is>
      </c>
      <c r="G97" s="66" t="inlineStr">
        <is>
          <t>0001652044-25-000062</t>
        </is>
      </c>
      <c r="H97" s="66" t="inlineStr">
        <is>
          <t>0001652044-25-000091</t>
        </is>
      </c>
      <c r="J97" s="66" t="inlineStr">
        <is>
          <t>0001652044-26-000048</t>
        </is>
      </c>
    </row>
    <row r="98">
      <c r="A98" t="inlineStr">
        <is>
          <t>N facts</t>
        </is>
      </c>
      <c r="B98" t="n">
        <v>301</v>
      </c>
      <c r="C98" t="n">
        <v>398</v>
      </c>
      <c r="D98" t="n">
        <v>403</v>
      </c>
      <c r="F98" t="n">
        <v>358</v>
      </c>
      <c r="G98" t="n">
        <v>468</v>
      </c>
      <c r="H98" t="n">
        <v>471</v>
      </c>
      <c r="J98" t="n">
        <v>368</v>
      </c>
    </row>
    <row r="99">
      <c r="A99" t="inlineStr">
        <is>
          <t>MAD (first digit)</t>
        </is>
      </c>
      <c r="B99" s="67" t="n">
        <v>0.0125</v>
      </c>
      <c r="C99" s="67" t="n">
        <v>0.01214</v>
      </c>
      <c r="D99" s="67" t="n">
        <v>0.008880000000000001</v>
      </c>
      <c r="F99" s="67" t="n">
        <v>0.01752</v>
      </c>
      <c r="G99" s="67" t="n">
        <v>0.01313</v>
      </c>
      <c r="H99" s="67" t="n">
        <v>0.01278</v>
      </c>
      <c r="J99" s="67" t="n">
        <v>0.01104</v>
      </c>
    </row>
    <row r="100">
      <c r="A100" t="inlineStr">
        <is>
          <t>MAD verdict</t>
        </is>
      </c>
      <c r="B100" t="inlineStr">
        <is>
          <t>marginal</t>
        </is>
      </c>
      <c r="C100" t="inlineStr">
        <is>
          <t>marginal</t>
        </is>
      </c>
      <c r="D100" t="inlineStr">
        <is>
          <t>acceptable</t>
        </is>
      </c>
      <c r="F100" t="inlineStr">
        <is>
          <t>NONCONFORM</t>
        </is>
      </c>
      <c r="G100" t="inlineStr">
        <is>
          <t>marginal</t>
        </is>
      </c>
      <c r="H100" t="inlineStr">
        <is>
          <t>marginal</t>
        </is>
      </c>
      <c r="J100" t="inlineStr">
        <is>
          <t>acceptable</t>
        </is>
      </c>
    </row>
    <row r="101">
      <c r="A101" t="inlineStr">
        <is>
          <t>chi-square (df=8)</t>
        </is>
      </c>
      <c r="B101" s="41" t="n">
        <v>7.7</v>
      </c>
      <c r="C101" s="41" t="n">
        <v>9.5</v>
      </c>
      <c r="D101" s="41" t="n">
        <v>6.2</v>
      </c>
      <c r="F101" s="41" t="n">
        <v>11.1</v>
      </c>
      <c r="G101" s="41" t="n">
        <v>9.9</v>
      </c>
      <c r="H101" s="41" t="n">
        <v>7.2</v>
      </c>
      <c r="J101" s="41" t="n">
        <v>6.8</v>
      </c>
    </row>
    <row r="102">
      <c r="A102" t="inlineStr">
        <is>
          <t>chi-sq &gt; 15.51?</t>
        </is>
      </c>
      <c r="B102" t="inlineStr">
        <is>
          <t>no</t>
        </is>
      </c>
      <c r="C102" t="inlineStr">
        <is>
          <t>no</t>
        </is>
      </c>
      <c r="D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J10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A12" zoomScale="170" zoomScaleNormal="170" workbookViewId="0">
      <selection activeCell="C36" sqref="C36"/>
    </sheetView>
  </sheetViews>
  <sheetFormatPr baseColWidth="10" defaultColWidth="8.83203125" defaultRowHeight="15"/>
  <cols>
    <col width="13" customWidth="1" style="92" min="1" max="1"/>
    <col width="26" customWidth="1" style="92" min="2" max="2"/>
    <col width="12" customWidth="1" style="92" min="3" max="3"/>
    <col width="22" customWidth="1" style="92" min="4" max="4"/>
    <col width="13" customWidth="1" style="92" min="5" max="5"/>
    <col width="12" customWidth="1" style="92" min="6" max="8"/>
    <col width="16" customWidth="1" style="92" min="9" max="9"/>
    <col width="12" customWidth="1" style="92" min="10" max="11"/>
    <col width="64" customWidth="1" style="92" min="12" max="12"/>
  </cols>
  <sheetData>
    <row r="1">
      <c r="A1" s="53" t="inlineStr">
        <is>
          <t>Alphabet Inc. (GOOGL) — Guidance &amp; Consensus</t>
        </is>
      </c>
    </row>
    <row r="2">
      <c r="A2" s="51" t="inlineStr">
        <is>
          <t>Consensus: free-source snapshots captured DATED at each run, never backfilled - this ledger is the point-in-time archive. Forward statements: as-filed releases/MD&amp;A only.</t>
        </is>
      </c>
    </row>
    <row r="3"/>
    <row r="4">
      <c r="A4" s="62" t="inlineStr">
        <is>
          <t>1. MANAGEMENT FORWARD STATEMENTS</t>
        </is>
      </c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</row>
    <row r="5">
      <c r="A5" s="53" t="inlineStr">
        <is>
          <t>POLICY: NO FORMAL GUIDANCE — Alphabet publishes no outlook tables; the rows below are the dated, quantified forward statements that appear in filed documents (earnings releases / MD&amp;A).</t>
        </is>
      </c>
    </row>
    <row r="6"/>
    <row r="7">
      <c r="A7" s="52" t="inlineStr">
        <is>
          <t>Given</t>
        </is>
      </c>
      <c r="B7" s="52" t="inlineStr">
        <is>
          <t>Source</t>
        </is>
      </c>
      <c r="C7" s="52" t="inlineStr">
        <is>
          <t>For period</t>
        </is>
      </c>
      <c r="D7" s="52" t="inlineStr">
        <is>
          <t>Metric</t>
        </is>
      </c>
      <c r="E7" s="52" t="inlineStr">
        <is>
          <t>Low</t>
        </is>
      </c>
      <c r="F7" s="52" t="inlineStr">
        <is>
          <t>Mid</t>
        </is>
      </c>
      <c r="G7" s="52" t="inlineStr">
        <is>
          <t>High</t>
        </is>
      </c>
      <c r="H7" s="52" t="inlineStr">
        <is>
          <t>Unit</t>
        </is>
      </c>
      <c r="I7" s="52" t="inlineStr">
        <is>
          <t>Actual (as filed)</t>
        </is>
      </c>
      <c r="J7" s="52" t="inlineStr">
        <is>
          <t>Act vs Mid</t>
        </is>
      </c>
      <c r="K7" s="52" t="n"/>
      <c r="L7" s="52" t="inlineStr">
        <is>
          <t>Statement / evidence</t>
        </is>
      </c>
    </row>
    <row r="8">
      <c r="A8" t="inlineStr">
        <is>
          <t>2024-01-31</t>
        </is>
      </c>
      <c r="B8" s="51" t="inlineStr">
        <is>
          <t>0001652044-24-000022</t>
        </is>
      </c>
      <c r="C8" t="inlineStr">
        <is>
          <t>FY2024</t>
        </is>
      </c>
      <c r="D8" t="inlineStr">
        <is>
          <t>capex commentary</t>
        </is>
      </c>
      <c r="H8" t="inlineStr">
        <is>
          <t>USD millions</t>
        </is>
      </c>
      <c r="L8" s="51" t="inlineStr">
        <is>
          <t>'We expect to increase, relative to 2023, our investment in our technical infrastructure, including servers, network equipment, and data centers... in</t>
        </is>
      </c>
    </row>
    <row r="9">
      <c r="A9" t="inlineStr">
        <is>
          <t>2025-02-04</t>
        </is>
      </c>
      <c r="B9" s="51" t="inlineStr">
        <is>
          <t>0001652044-25-000010</t>
        </is>
      </c>
      <c r="C9" t="inlineStr">
        <is>
          <t>FY2025</t>
        </is>
      </c>
      <c r="D9" t="inlineStr">
        <is>
          <t>capex commentary</t>
        </is>
      </c>
      <c r="E9" s="55" t="n">
        <v>75000</v>
      </c>
      <c r="F9" s="55" t="n">
        <v>75000</v>
      </c>
      <c r="G9" s="55" t="n">
        <v>75000</v>
      </c>
      <c r="H9" t="inlineStr">
        <is>
          <t>USD millions</t>
        </is>
      </c>
      <c r="I9" s="4">
        <f>ABS('Cash Flow Statement'!K29)</f>
        <v/>
      </c>
      <c r="J9" s="4">
        <f>I9-F9</f>
        <v/>
      </c>
      <c r="L9" s="51" t="inlineStr">
        <is>
          <t>Sundar Pichai: 'We are confident about the opportunities ahead, and to accelerate our progress, we expect to invest approximately $75 billion in capit</t>
        </is>
      </c>
    </row>
    <row r="10">
      <c r="A10" t="inlineStr">
        <is>
          <t>2025-02-05</t>
        </is>
      </c>
      <c r="B10" s="51" t="inlineStr">
        <is>
          <t>0001652044-25-000014</t>
        </is>
      </c>
      <c r="C10" t="inlineStr">
        <is>
          <t>FY2025</t>
        </is>
      </c>
      <c r="D10" t="inlineStr">
        <is>
          <t>capex commentary</t>
        </is>
      </c>
      <c r="H10" t="inlineStr">
        <is>
          <t>USD millions</t>
        </is>
      </c>
      <c r="L10" s="51" t="inlineStr">
        <is>
          <t>'We expect to increase, relative to 2024, our investment in our technical infrastructure, including servers, network equipment, and data centers... in</t>
        </is>
      </c>
    </row>
    <row r="11">
      <c r="A11" t="inlineStr">
        <is>
          <t>2025-07-23</t>
        </is>
      </c>
      <c r="B11" s="51" t="inlineStr">
        <is>
          <t>0001652044-25-000056</t>
        </is>
      </c>
      <c r="C11" t="inlineStr">
        <is>
          <t>FY2025</t>
        </is>
      </c>
      <c r="D11" t="inlineStr">
        <is>
          <t>capex commentary</t>
        </is>
      </c>
      <c r="E11" s="55" t="n">
        <v>85000</v>
      </c>
      <c r="F11" s="55" t="n">
        <v>85000</v>
      </c>
      <c r="G11" s="55" t="n">
        <v>85000</v>
      </c>
      <c r="H11" t="inlineStr">
        <is>
          <t>USD millions</t>
        </is>
      </c>
      <c r="I11" s="4">
        <f>ABS('Cash Flow Statement'!K29)</f>
        <v/>
      </c>
      <c r="J11" s="4">
        <f>I11-F11</f>
        <v/>
      </c>
      <c r="L11" s="51" t="inlineStr">
        <is>
          <t>Sundar Pichai: 'With this strong and growing demand for our Cloud products and services, we are increasing our investment in capital expenditures in 2</t>
        </is>
      </c>
    </row>
    <row r="12">
      <c r="A12" t="inlineStr">
        <is>
          <t>2025-10-29</t>
        </is>
      </c>
      <c r="B12" s="51" t="inlineStr">
        <is>
          <t>0001652044-25-000087</t>
        </is>
      </c>
      <c r="C12" t="inlineStr">
        <is>
          <t>FY2025</t>
        </is>
      </c>
      <c r="D12" t="inlineStr">
        <is>
          <t>capex commentary</t>
        </is>
      </c>
      <c r="E12" s="55" t="n">
        <v>91000</v>
      </c>
      <c r="F12" s="55" t="n">
        <v>92000</v>
      </c>
      <c r="G12" s="55" t="n">
        <v>93000</v>
      </c>
      <c r="H12" t="inlineStr">
        <is>
          <t>USD millions</t>
        </is>
      </c>
      <c r="I12" s="4">
        <f>ABS('Cash Flow Statement'!K29)</f>
        <v/>
      </c>
      <c r="J12" s="4">
        <f>I12-F12</f>
        <v/>
      </c>
      <c r="L12" s="51" t="inlineStr">
        <is>
          <t>'With the growth across our business and demand from Cloud customers, we now expect 2025 capital expenditures to be in a range of $91 billion to $93 b</t>
        </is>
      </c>
    </row>
    <row r="13">
      <c r="A13" t="inlineStr">
        <is>
          <t>2026-02-04</t>
        </is>
      </c>
      <c r="B13" s="51" t="inlineStr">
        <is>
          <t>0001652044-26-000012</t>
        </is>
      </c>
      <c r="C13" t="inlineStr">
        <is>
          <t>FY2026</t>
        </is>
      </c>
      <c r="D13" t="inlineStr">
        <is>
          <t>capex commentary</t>
        </is>
      </c>
      <c r="E13" s="55" t="n">
        <v>175000</v>
      </c>
      <c r="F13" s="55" t="n">
        <v>180000</v>
      </c>
      <c r="G13" s="55" t="n">
        <v>185000</v>
      </c>
      <c r="H13" t="inlineStr">
        <is>
          <t>USD millions</t>
        </is>
      </c>
      <c r="I13" s="51" t="inlineStr">
        <is>
          <t>pending</t>
        </is>
      </c>
      <c r="L13" s="51" t="inlineStr">
        <is>
          <t>Sundar Pichai: 'To meet customer demand and capitalize on the growing opportunities we have ahead of us, our 2026 CapEx investments are anticipated to</t>
        </is>
      </c>
    </row>
    <row r="14">
      <c r="A14" t="inlineStr">
        <is>
          <t>2026-02-05</t>
        </is>
      </c>
      <c r="B14" s="51" t="inlineStr">
        <is>
          <t>0001652044-26-000018</t>
        </is>
      </c>
      <c r="C14" t="inlineStr">
        <is>
          <t>FY2026</t>
        </is>
      </c>
      <c r="D14" t="inlineStr">
        <is>
          <t>capex commentary</t>
        </is>
      </c>
      <c r="H14" t="inlineStr">
        <is>
          <t>USD millions</t>
        </is>
      </c>
      <c r="L14" s="51" t="inlineStr">
        <is>
          <t>'In 2026, we expect to significantly increase, relative to 2025, our investment in our technical infrastructure, including servers and network equipme</t>
        </is>
      </c>
    </row>
    <row r="15">
      <c r="A15" t="inlineStr">
        <is>
          <t>2026-04-30</t>
        </is>
      </c>
      <c r="B15" s="51" t="inlineStr">
        <is>
          <t>0001652044-26-000048</t>
        </is>
      </c>
      <c r="C15" t="inlineStr">
        <is>
          <t>FY2026</t>
        </is>
      </c>
      <c r="D15" t="inlineStr">
        <is>
          <t>capex commentary</t>
        </is>
      </c>
      <c r="H15" t="inlineStr">
        <is>
          <t>USD millions</t>
        </is>
      </c>
      <c r="L15" s="51" t="inlineStr">
        <is>
          <t>'In 2026, we expect to significantly increase, relative to 2025, our investment in our technical infrastructure...' (Q1 2026 capex was $35.7 billion v</t>
        </is>
      </c>
    </row>
    <row r="16">
      <c r="A16" t="inlineStr">
        <is>
          <t>2024-04-25</t>
        </is>
      </c>
      <c r="B16" s="51" t="inlineStr">
        <is>
          <t>0001652044-24-000047</t>
        </is>
      </c>
      <c r="C16" t="inlineStr">
        <is>
          <t>ongoing</t>
        </is>
      </c>
      <c r="D16" t="inlineStr">
        <is>
          <t>capital return commentary</t>
        </is>
      </c>
      <c r="H16" t="inlineStr">
        <is>
          <t>see evidence</t>
        </is>
      </c>
      <c r="L16" s="51" t="inlineStr">
        <is>
          <t>Initiation of cash dividend program: '$0.20 per share... The company intends to pay quarterly cash dividends in the future'; Board 'authorized the com</t>
        </is>
      </c>
    </row>
    <row r="17">
      <c r="A17" t="inlineStr">
        <is>
          <t>2025-04-24</t>
        </is>
      </c>
      <c r="B17" s="51" t="inlineStr">
        <is>
          <t>0001652044-25-000040</t>
        </is>
      </c>
      <c r="C17" t="inlineStr">
        <is>
          <t>ongoing</t>
        </is>
      </c>
      <c r="D17" t="inlineStr">
        <is>
          <t>capital return commentary</t>
        </is>
      </c>
      <c r="H17" t="inlineStr">
        <is>
          <t>see evidence</t>
        </is>
      </c>
      <c r="L17" s="51" t="inlineStr">
        <is>
          <t>'quarterly cash dividend of $0.21 representing a 5% increase from the previous quarterly dividend of $0.20'; Board 'authorized the company to repurcha</t>
        </is>
      </c>
    </row>
    <row r="18">
      <c r="A18" t="inlineStr">
        <is>
          <t>2026-04-29</t>
        </is>
      </c>
      <c r="B18" s="51" t="inlineStr">
        <is>
          <t>0001652044-26-000043</t>
        </is>
      </c>
      <c r="C18" t="inlineStr">
        <is>
          <t>ongoing</t>
        </is>
      </c>
      <c r="D18" t="inlineStr">
        <is>
          <t>capital return commentary</t>
        </is>
      </c>
      <c r="H18" t="inlineStr">
        <is>
          <t>see evidence</t>
        </is>
      </c>
      <c r="L18" s="51" t="inlineStr">
        <is>
          <t>'The company announced a 5% increase to the dividend, resulting in a quarterly cash dividend of $0.22.'</t>
        </is>
      </c>
    </row>
    <row r="19"/>
    <row r="20"/>
    <row r="21">
      <c r="A21" s="62" t="inlineStr">
        <is>
          <t>2. CONSENSUS SNAPSHOTS (point-in-time ledger - grows, never revised)</t>
        </is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</row>
    <row r="22">
      <c r="A22" s="52" t="inlineStr">
        <is>
          <t>Snapshot</t>
        </is>
      </c>
      <c r="B22" s="52" t="inlineStr">
        <is>
          <t>Period</t>
        </is>
      </c>
      <c r="C22" s="52" t="inlineStr">
        <is>
          <t>Rev avg ($M)</t>
        </is>
      </c>
      <c r="D22" s="52" t="inlineStr">
        <is>
          <t>Rev low</t>
        </is>
      </c>
      <c r="E22" s="52" t="inlineStr">
        <is>
          <t>Rev high</t>
        </is>
      </c>
      <c r="F22" s="52" t="inlineStr">
        <is>
          <t>#A</t>
        </is>
      </c>
      <c r="G22" s="52" t="inlineStr">
        <is>
          <t>EPS avg</t>
        </is>
      </c>
      <c r="H22" s="52" t="inlineStr">
        <is>
          <t>EPS low</t>
        </is>
      </c>
      <c r="I22" s="52" t="inlineStr">
        <is>
          <t>EPS high</t>
        </is>
      </c>
      <c r="J22" s="52" t="inlineStr">
        <is>
          <t>#A</t>
        </is>
      </c>
      <c r="K22" s="52" t="inlineStr">
        <is>
          <t>PT mean / price</t>
        </is>
      </c>
      <c r="L22" s="52" t="inlineStr">
        <is>
          <t>Source</t>
        </is>
      </c>
    </row>
    <row r="23">
      <c r="A23" t="inlineStr">
        <is>
          <t>2026-06-12</t>
        </is>
      </c>
      <c r="B23" t="inlineStr">
        <is>
          <t>Q2 2026</t>
        </is>
      </c>
      <c r="C23" s="4" t="n">
        <v>116678.35548</v>
      </c>
      <c r="D23" s="4" t="n">
        <v>113623</v>
      </c>
      <c r="E23" s="4" t="n">
        <v>120126</v>
      </c>
      <c r="F23" t="n">
        <v>37</v>
      </c>
      <c r="G23" s="60" t="n">
        <v>2.87003</v>
      </c>
      <c r="H23" s="60" t="n">
        <v>2.6</v>
      </c>
      <c r="I23" s="60" t="n">
        <v>3.13</v>
      </c>
      <c r="J23" t="n">
        <v>42</v>
      </c>
      <c r="K23" t="inlineStr">
        <is>
          <t>433 / 363</t>
        </is>
      </c>
      <c r="L23" s="51" t="inlineStr">
        <is>
          <t>yfinance (Yahoo Finance aggregation)</t>
        </is>
      </c>
    </row>
    <row r="24">
      <c r="B24" t="inlineStr">
        <is>
          <t>Q3 2026</t>
        </is>
      </c>
      <c r="C24" s="4" t="n">
        <v>123399.91372</v>
      </c>
      <c r="D24" s="4" t="n">
        <v>119062</v>
      </c>
      <c r="E24" s="4" t="n">
        <v>135927</v>
      </c>
      <c r="F24" t="n">
        <v>34</v>
      </c>
      <c r="G24" s="60" t="n">
        <v>3.00261</v>
      </c>
      <c r="H24" s="60" t="n">
        <v>2.67</v>
      </c>
      <c r="I24" s="60" t="n">
        <v>3.72</v>
      </c>
      <c r="J24" t="n">
        <v>38</v>
      </c>
    </row>
    <row r="25">
      <c r="B25" t="inlineStr">
        <is>
          <t>FY2026</t>
        </is>
      </c>
      <c r="C25" s="4" t="n">
        <v>487719.90033</v>
      </c>
      <c r="D25" s="4" t="n">
        <v>473886</v>
      </c>
      <c r="E25" s="4" t="n">
        <v>518969.93373</v>
      </c>
      <c r="F25" t="n">
        <v>52</v>
      </c>
      <c r="G25" s="60" t="n">
        <v>14.22039</v>
      </c>
      <c r="H25" s="60" t="n">
        <v>12.79</v>
      </c>
      <c r="I25" s="60" t="n">
        <v>15.13</v>
      </c>
      <c r="J25" t="n">
        <v>53</v>
      </c>
    </row>
    <row r="26">
      <c r="B26" t="inlineStr">
        <is>
          <t>FY2027</t>
        </is>
      </c>
      <c r="C26" s="4" t="n">
        <v>578906.98887</v>
      </c>
      <c r="D26" s="4" t="n">
        <v>475293</v>
      </c>
      <c r="E26" s="4" t="n">
        <v>674239</v>
      </c>
      <c r="F26" t="n">
        <v>53</v>
      </c>
      <c r="G26" s="60" t="n">
        <v>14.4584</v>
      </c>
      <c r="H26" s="60" t="n">
        <v>11.7</v>
      </c>
      <c r="I26" s="60" t="n">
        <v>17.18</v>
      </c>
      <c r="J26" t="n">
        <v>55</v>
      </c>
    </row>
    <row r="27"/>
    <row r="28"/>
    <row r="29">
      <c r="A29" s="62" t="inlineStr">
        <is>
          <t>3. TRANSLATION TO RIM PARAMETERS — OURS vs STREET (snapshot 2026-06-12)</t>
        </is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</row>
    <row r="30">
      <c r="A30" s="51" t="inlineStr">
        <is>
          <t>Bridge: street NI = street EPS x Model_Base diluted shares (L50); street NOPAT ~= street NI + model after-tax net interest (L33). OURS cells are live links - editing Model_Base updates this block. The FY2026 capex statement ($175-185B) has no direct model line; it informs the nolaRatioVector judgment.</t>
        </is>
      </c>
    </row>
    <row r="31">
      <c r="A31" s="52" t="inlineStr">
        <is>
          <t>Metric</t>
        </is>
      </c>
      <c r="B31" s="52" t="inlineStr">
        <is>
          <t>OURS (Model_Base)</t>
        </is>
      </c>
      <c r="C31" s="52" t="inlineStr">
        <is>
          <t>STREET</t>
        </is>
      </c>
      <c r="D31" s="52" t="inlineStr">
        <is>
          <t>GUIDE-ish</t>
        </is>
      </c>
      <c r="E31" s="52" t="inlineStr">
        <is>
          <t>d STREET-OURS</t>
        </is>
      </c>
      <c r="F31" s="52" t="inlineStr">
        <is>
          <t>Note</t>
        </is>
      </c>
    </row>
    <row r="32">
      <c r="A32" t="inlineStr">
        <is>
          <t>FY2026 revenue ($M)</t>
        </is>
      </c>
      <c r="B32" s="4">
        <f>Model_Base!L31</f>
        <v/>
      </c>
      <c r="C32" s="4" t="n">
        <v>487719.90033</v>
      </c>
      <c r="E32" s="4">
        <f>C32-B32</f>
        <v/>
      </c>
      <c r="F32" s="51" t="inlineStr">
        <is>
          <t>street n=52</t>
        </is>
      </c>
    </row>
    <row r="33">
      <c r="A33" t="inlineStr">
        <is>
          <t>FY2026 revenue growth Y1</t>
        </is>
      </c>
      <c r="B33" s="1">
        <f>Model_Base!L11</f>
        <v/>
      </c>
      <c r="C33" s="1">
        <f>C32/'Income Statement'!K7-1</f>
        <v/>
      </c>
      <c r="E33" s="1">
        <f>C33-B33</f>
        <v/>
      </c>
      <c r="F33" s="51" t="inlineStr">
        <is>
          <t>street implied vs our growthVector[0]</t>
        </is>
      </c>
    </row>
    <row r="34">
      <c r="A34" t="inlineStr">
        <is>
          <t>FY2027 revenue ($M)</t>
        </is>
      </c>
      <c r="B34" s="4">
        <f>Model_Base!M31</f>
        <v/>
      </c>
      <c r="C34" s="4" t="n">
        <v>578906.98887</v>
      </c>
      <c r="E34" s="4">
        <f>C34-B34</f>
        <v/>
      </c>
      <c r="F34" s="51" t="inlineStr">
        <is>
          <t>street n=53</t>
        </is>
      </c>
    </row>
    <row r="35">
      <c r="A35" t="inlineStr">
        <is>
          <t>FY2027 revenue growth Y2</t>
        </is>
      </c>
      <c r="B35" s="1">
        <f>Model_Base!M11</f>
        <v/>
      </c>
      <c r="C35" s="1">
        <f>C34/C32-1</f>
        <v/>
      </c>
      <c r="E35" s="1">
        <f>C35-B35</f>
        <v/>
      </c>
      <c r="F35" s="51" t="inlineStr">
        <is>
          <t>street implied vs our growthVector[1]</t>
        </is>
      </c>
    </row>
    <row r="36">
      <c r="A36" t="inlineStr">
        <is>
          <t>FY2026 diluted EPS</t>
        </is>
      </c>
      <c r="B36" s="60">
        <f>Model_Base!L34/Model_Base!L50</f>
        <v/>
      </c>
      <c r="C36" s="60" t="n">
        <v>14.22039</v>
      </c>
      <c r="E36" s="60">
        <f>C36-B36</f>
        <v/>
      </c>
      <c r="F36" s="51" t="inlineStr">
        <is>
          <t>street n=53</t>
        </is>
      </c>
    </row>
    <row r="37">
      <c r="A37" t="inlineStr">
        <is>
          <t>FY2026 net income ($M)</t>
        </is>
      </c>
      <c r="B37" s="4">
        <f>Model_Base!L34</f>
        <v/>
      </c>
      <c r="C37" s="4">
        <f>C36*Model_Base!L50</f>
        <v/>
      </c>
      <c r="E37" s="4">
        <f>C37-B37</f>
        <v/>
      </c>
      <c r="F37" s="51" t="inlineStr">
        <is>
          <t>street NI = street EPS x model diluted shares</t>
        </is>
      </c>
    </row>
    <row r="38">
      <c r="A38" t="inlineStr">
        <is>
          <t>FY2026 NOPAT margin</t>
        </is>
      </c>
      <c r="B38" s="1">
        <f>Model_Base!L12</f>
        <v/>
      </c>
      <c r="C38" s="1">
        <f>(C37+Model_Base!L33)/C32</f>
        <v/>
      </c>
      <c r="E38" s="1">
        <f>C38-B38</f>
        <v/>
      </c>
      <c r="F38" s="51" t="inlineStr">
        <is>
          <t>street NOPAT ~= NI + model after-tax net interest; compare also the IS-tab CORE NOPAT MARGIN row</t>
        </is>
      </c>
    </row>
    <row r="39">
      <c r="A39" t="inlineStr">
        <is>
          <t>FY2026 capex ($M)</t>
        </is>
      </c>
      <c r="B39" s="51" t="inlineStr">
        <is>
          <t>n/a (annual model)</t>
        </is>
      </c>
      <c r="D39" s="4" t="n">
        <v>180000</v>
      </c>
      <c r="F39" s="51" t="inlineStr">
        <is>
          <t>release statement; informs nolaRatioVector, no direct model line</t>
        </is>
      </c>
    </row>
    <row r="40">
      <c r="A40" t="inlineStr">
        <is>
          <t>Q2 2026 revenue ($M)</t>
        </is>
      </c>
      <c r="B40" s="51" t="inlineStr">
        <is>
          <t>n/a (annual model)</t>
        </is>
      </c>
      <c r="C40" s="4" t="n">
        <v>116678.35548</v>
      </c>
      <c r="F40" s="51" t="inlineStr">
        <is>
          <t>street n=37</t>
        </is>
      </c>
    </row>
    <row r="41">
      <c r="A41" t="inlineStr">
        <is>
          <t>Q2 2026 diluted EPS</t>
        </is>
      </c>
      <c r="B41" s="51" t="inlineStr">
        <is>
          <t>n/a (annual model)</t>
        </is>
      </c>
      <c r="C41" s="60" t="n">
        <v>2.87003</v>
      </c>
      <c r="F41" s="51" t="inlineStr">
        <is>
          <t>no company guide exists (policy)</t>
        </is>
      </c>
    </row>
    <row r="42">
      <c r="A42" s="51" t="inlineStr">
        <is>
          <t>Reading: rows where dSTREET-OURS is large are WHERE WE DISAGREE WITH THE STREET, in our own model's units - take them to the memo.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zoomScale="140" zoomScaleNormal="140" workbookViewId="0">
      <pane xSplit="1" topLeftCell="B1" activePane="topRight" state="frozen"/>
      <selection pane="topRight" activeCell="U12" sqref="U12"/>
    </sheetView>
  </sheetViews>
  <sheetFormatPr baseColWidth="10" defaultColWidth="8.83203125" defaultRowHeight="15"/>
  <cols>
    <col width="42" customWidth="1" style="92" min="1" max="1"/>
    <col width="14" customWidth="1" style="92" min="2" max="21"/>
  </cols>
  <sheetData>
    <row r="1">
      <c r="A1" s="8" t="inlineStr">
        <is>
          <t>MARKET DATA (Given) — BEAR CASE</t>
        </is>
      </c>
    </row>
    <row r="2">
      <c r="A2" t="inlineStr">
        <is>
          <t>Beta</t>
        </is>
      </c>
      <c r="B2" s="26" t="n">
        <v>1.15</v>
      </c>
    </row>
    <row r="3">
      <c r="A3" t="inlineStr">
        <is>
          <t>Risk premium</t>
        </is>
      </c>
      <c r="B3" s="27" t="n">
        <v>0.05</v>
      </c>
    </row>
    <row r="4">
      <c r="A4" t="inlineStr">
        <is>
          <t>Risk free rate</t>
        </is>
      </c>
      <c r="B4" s="27" t="n">
        <v>0.042</v>
      </c>
    </row>
    <row r="5">
      <c r="A5" t="inlineStr">
        <is>
          <t>Cost of equity (Ke)</t>
        </is>
      </c>
      <c r="B5" s="25">
        <f>B4+B3*B2</f>
        <v/>
      </c>
    </row>
    <row r="6">
      <c r="A6" t="inlineStr">
        <is>
          <t>Tax Rate</t>
        </is>
      </c>
      <c r="B6" s="27" t="n">
        <v>0.17</v>
      </c>
    </row>
    <row r="7">
      <c r="A7" t="inlineStr">
        <is>
          <t>Pre-Tax Net Cost of Net Debt</t>
        </is>
      </c>
      <c r="B7" s="25">
        <f>B8/(1-B6)</f>
        <v/>
      </c>
    </row>
    <row r="8">
      <c r="A8" t="inlineStr">
        <is>
          <t>After-Tax Net Cost of Net Debt</t>
        </is>
      </c>
      <c r="B8" s="25">
        <f>AVERAGE('ALT DuPont'!H23:K23)</f>
        <v/>
      </c>
    </row>
    <row r="9">
      <c r="A9" s="74" t="inlineStr">
        <is>
          <t>Terminal growth (g)</t>
        </is>
      </c>
      <c r="B9" s="95">
        <f>U11</f>
        <v/>
      </c>
    </row>
    <row r="10">
      <c r="A10" s="8" t="inlineStr">
        <is>
          <t>Year</t>
        </is>
      </c>
      <c r="B10" s="28">
        <f>YEAR('Income Statement'!B6)</f>
        <v/>
      </c>
      <c r="C10" s="28">
        <f>YEAR('Income Statement'!C6)</f>
        <v/>
      </c>
      <c r="D10" s="28">
        <f>YEAR('Income Statement'!D6)</f>
        <v/>
      </c>
      <c r="E10" s="28">
        <f>YEAR('Income Statement'!E6)</f>
        <v/>
      </c>
      <c r="F10" s="28">
        <f>YEAR('Income Statement'!F6)</f>
        <v/>
      </c>
      <c r="G10" s="28">
        <f>YEAR('Income Statement'!G6)</f>
        <v/>
      </c>
      <c r="H10" s="28">
        <f>YEAR('Income Statement'!H6)</f>
        <v/>
      </c>
      <c r="I10" s="28">
        <f>YEAR('Income Statement'!I6)</f>
        <v/>
      </c>
      <c r="J10" s="28">
        <f>YEAR('Income Statement'!J6)</f>
        <v/>
      </c>
      <c r="K10" s="28">
        <f>YEAR('Income Statement'!K6)</f>
        <v/>
      </c>
      <c r="L10" s="28">
        <f>K10+1</f>
        <v/>
      </c>
      <c r="M10" s="28">
        <f>L10+1</f>
        <v/>
      </c>
      <c r="N10" s="28">
        <f>M10+1</f>
        <v/>
      </c>
      <c r="O10" s="28">
        <f>N10+1</f>
        <v/>
      </c>
      <c r="P10" s="28">
        <f>O10+1</f>
        <v/>
      </c>
      <c r="Q10" s="28">
        <f>P10+1</f>
        <v/>
      </c>
      <c r="R10" s="28">
        <f>Q10+1</f>
        <v/>
      </c>
      <c r="S10" s="28">
        <f>R10+1</f>
        <v/>
      </c>
      <c r="T10" s="28">
        <f>S10+1</f>
        <v/>
      </c>
      <c r="U10" s="28">
        <f>T10+1</f>
        <v/>
      </c>
      <c r="W10" s="96" t="inlineStr">
        <is>
          <t>Historical Average</t>
        </is>
      </c>
    </row>
    <row r="11">
      <c r="A11" t="inlineStr">
        <is>
          <t>Revenue Growth Assumption</t>
        </is>
      </c>
      <c r="B11" s="1" t="inlineStr">
        <is>
          <t>n/a</t>
        </is>
      </c>
      <c r="C11" s="1">
        <f>C31/B31-1</f>
        <v/>
      </c>
      <c r="D11" s="1">
        <f>D31/C31-1</f>
        <v/>
      </c>
      <c r="E11" s="1">
        <f>E31/D31-1</f>
        <v/>
      </c>
      <c r="F11" s="1">
        <f>F31/E31-1</f>
        <v/>
      </c>
      <c r="G11" s="1">
        <f>G31/F31-1</f>
        <v/>
      </c>
      <c r="H11" s="1">
        <f>H31/G31-1</f>
        <v/>
      </c>
      <c r="I11" s="1">
        <f>I31/H31-1</f>
        <v/>
      </c>
      <c r="J11" s="1">
        <f>J31/I31-1</f>
        <v/>
      </c>
      <c r="K11" s="1">
        <f>K31/J31-1</f>
        <v/>
      </c>
      <c r="L11" s="29" t="n">
        <v>0.1</v>
      </c>
      <c r="M11" s="29" t="n">
        <v>0.08</v>
      </c>
      <c r="N11" s="29" t="n">
        <v>0.06</v>
      </c>
      <c r="O11" s="29" t="n">
        <v>0.05</v>
      </c>
      <c r="P11" s="29" t="n">
        <v>0.04</v>
      </c>
      <c r="Q11" s="29" t="n">
        <v>0.04</v>
      </c>
      <c r="R11" s="29" t="n">
        <v>0.03</v>
      </c>
      <c r="S11" s="29" t="n">
        <v>0.03</v>
      </c>
      <c r="T11" s="29" t="n">
        <v>0.03</v>
      </c>
      <c r="U11" s="29" t="n">
        <v>0.03</v>
      </c>
      <c r="W11" s="1">
        <f>AVERAGE(C11:K11)</f>
        <v/>
      </c>
    </row>
    <row r="12">
      <c r="A12" t="inlineStr">
        <is>
          <t>NOPAT Margin</t>
        </is>
      </c>
      <c r="B12" s="1">
        <f>B32/B31</f>
        <v/>
      </c>
      <c r="C12" s="1">
        <f>C32/C31</f>
        <v/>
      </c>
      <c r="D12" s="1">
        <f>D32/D31</f>
        <v/>
      </c>
      <c r="E12" s="1">
        <f>E32/E31</f>
        <v/>
      </c>
      <c r="F12" s="1">
        <f>F32/F31</f>
        <v/>
      </c>
      <c r="G12" s="1">
        <f>G32/G31</f>
        <v/>
      </c>
      <c r="H12" s="1">
        <f>H32/H31</f>
        <v/>
      </c>
      <c r="I12" s="1">
        <f>I32/I31</f>
        <v/>
      </c>
      <c r="J12" s="1">
        <f>J32/J31</f>
        <v/>
      </c>
      <c r="K12" s="1">
        <f>K32/K31</f>
        <v/>
      </c>
      <c r="L12" s="29" t="n">
        <v>0.24</v>
      </c>
      <c r="M12" s="29" t="n">
        <v>0.235</v>
      </c>
      <c r="N12" s="29" t="n">
        <v>0.23</v>
      </c>
      <c r="O12" s="29" t="n">
        <v>0.225</v>
      </c>
      <c r="P12" s="29" t="n">
        <v>0.22</v>
      </c>
      <c r="Q12" s="29" t="n">
        <v>0.215</v>
      </c>
      <c r="R12" s="29" t="n">
        <v>0.21</v>
      </c>
      <c r="S12" s="29" t="n">
        <v>0.205</v>
      </c>
      <c r="T12" s="29" t="n">
        <v>0.2</v>
      </c>
      <c r="U12" s="29" t="n">
        <v>0.2</v>
      </c>
      <c r="W12" s="1">
        <f>AVERAGE(C12:K12)</f>
        <v/>
      </c>
    </row>
    <row r="13"/>
    <row r="14">
      <c r="A14" t="inlineStr">
        <is>
          <t>(Beg) NOWC / Sales</t>
        </is>
      </c>
      <c r="B14" s="2" t="inlineStr">
        <is>
          <t>n/a</t>
        </is>
      </c>
      <c r="C14" s="2">
        <f>C21/C31</f>
        <v/>
      </c>
      <c r="D14" s="2">
        <f>D21/D31</f>
        <v/>
      </c>
      <c r="E14" s="2">
        <f>E21/E31</f>
        <v/>
      </c>
      <c r="F14" s="2">
        <f>F21/F31</f>
        <v/>
      </c>
      <c r="G14" s="2">
        <f>G21/G31</f>
        <v/>
      </c>
      <c r="H14" s="2">
        <f>H21/H31</f>
        <v/>
      </c>
      <c r="I14" s="2">
        <f>I21/I31</f>
        <v/>
      </c>
      <c r="J14" s="2">
        <f>J21/J31</f>
        <v/>
      </c>
      <c r="K14" s="2">
        <f>K21/K31</f>
        <v/>
      </c>
      <c r="L14" s="30" t="n">
        <v>0.02</v>
      </c>
      <c r="M14" s="31" t="n">
        <v>0.025</v>
      </c>
      <c r="N14" s="31" t="n">
        <v>0.03</v>
      </c>
      <c r="O14" s="31" t="n">
        <v>0.035</v>
      </c>
      <c r="P14" s="31" t="n">
        <v>0.04</v>
      </c>
      <c r="Q14" s="31" t="n">
        <v>0.045</v>
      </c>
      <c r="R14" s="31" t="n">
        <v>0.05</v>
      </c>
      <c r="S14" s="31" t="n">
        <v>0.055</v>
      </c>
      <c r="T14" s="31" t="n">
        <v>0.06</v>
      </c>
      <c r="U14" s="31" t="n">
        <v>0.065</v>
      </c>
      <c r="W14" s="2">
        <f>AVERAGE(C14:K14)</f>
        <v/>
      </c>
    </row>
    <row r="15">
      <c r="A15" t="inlineStr">
        <is>
          <t>(Beg) Net Op LT Assets / Sales</t>
        </is>
      </c>
      <c r="B15" s="2" t="inlineStr">
        <is>
          <t>n/a</t>
        </is>
      </c>
      <c r="C15" s="2">
        <f>C22/C31</f>
        <v/>
      </c>
      <c r="D15" s="2">
        <f>D22/D31</f>
        <v/>
      </c>
      <c r="E15" s="2">
        <f>E22/E31</f>
        <v/>
      </c>
      <c r="F15" s="2">
        <f>F22/F31</f>
        <v/>
      </c>
      <c r="G15" s="2">
        <f>G22/G31</f>
        <v/>
      </c>
      <c r="H15" s="2">
        <f>H22/H31</f>
        <v/>
      </c>
      <c r="I15" s="2">
        <f>I22/I31</f>
        <v/>
      </c>
      <c r="J15" s="2">
        <f>J22/J31</f>
        <v/>
      </c>
      <c r="K15" s="2">
        <f>K22/K31</f>
        <v/>
      </c>
      <c r="L15" s="30" t="n">
        <v>0.5</v>
      </c>
      <c r="M15" s="31" t="n">
        <v>0.55</v>
      </c>
      <c r="N15" s="31" t="n">
        <v>0.6</v>
      </c>
      <c r="O15" s="31" t="n">
        <v>0.65</v>
      </c>
      <c r="P15" s="31" t="n">
        <v>0.7</v>
      </c>
      <c r="Q15" s="31" t="n">
        <v>0.75</v>
      </c>
      <c r="R15" s="31" t="n">
        <v>0.8</v>
      </c>
      <c r="S15" s="31" t="n">
        <v>0.85</v>
      </c>
      <c r="T15" s="31" t="n">
        <v>0.9</v>
      </c>
      <c r="U15" s="31" t="n">
        <v>0.95</v>
      </c>
      <c r="W15" s="2">
        <f>AVERAGE(C15:K15)</f>
        <v/>
      </c>
    </row>
    <row r="16"/>
    <row r="17">
      <c r="A17" t="inlineStr">
        <is>
          <t>Leverage (Beg Net Debt / Beg Assets)</t>
        </is>
      </c>
      <c r="B17" s="2" t="inlineStr">
        <is>
          <t>n/a</t>
        </is>
      </c>
      <c r="C17" s="2">
        <f>IFERROR(C26/C28,0)</f>
        <v/>
      </c>
      <c r="D17" s="2">
        <f>IFERROR(D26/D28,0)</f>
        <v/>
      </c>
      <c r="E17" s="2">
        <f>IFERROR(E26/E28,0)</f>
        <v/>
      </c>
      <c r="F17" s="2">
        <f>IFERROR(F26/F28,0)</f>
        <v/>
      </c>
      <c r="G17" s="2">
        <f>IFERROR(G26/G28,0)</f>
        <v/>
      </c>
      <c r="H17" s="2">
        <f>IFERROR(H26/H28,0)</f>
        <v/>
      </c>
      <c r="I17" s="2">
        <f>IFERROR(I26/I28,0)</f>
        <v/>
      </c>
      <c r="J17" s="2">
        <f>IFERROR(J26/J28,0)</f>
        <v/>
      </c>
      <c r="K17" s="2">
        <f>IFERROR(K26/K28,0)</f>
        <v/>
      </c>
      <c r="L17" s="30">
        <f>IFERROR(L26/L28,0)</f>
        <v/>
      </c>
      <c r="M17" s="30">
        <f>L17</f>
        <v/>
      </c>
      <c r="N17" s="30">
        <f>M17</f>
        <v/>
      </c>
      <c r="O17" s="30">
        <f>N17</f>
        <v/>
      </c>
      <c r="P17" s="30">
        <f>O17</f>
        <v/>
      </c>
      <c r="Q17" s="30">
        <f>P17</f>
        <v/>
      </c>
      <c r="R17" s="30">
        <f>Q17</f>
        <v/>
      </c>
      <c r="S17" s="30">
        <f>R17</f>
        <v/>
      </c>
      <c r="T17" s="30">
        <f>S17</f>
        <v/>
      </c>
      <c r="U17" s="30">
        <f>T17</f>
        <v/>
      </c>
    </row>
    <row r="18"/>
    <row r="19">
      <c r="A19" s="8" t="inlineStr">
        <is>
          <t>BALANCE SHEET (Beginning)</t>
        </is>
      </c>
    </row>
    <row r="20">
      <c r="A20" t="inlineStr">
        <is>
          <t>Operating Assets (Beginning)</t>
        </is>
      </c>
    </row>
    <row r="21">
      <c r="A21" t="inlineStr">
        <is>
          <t>Net operating working capital</t>
        </is>
      </c>
      <c r="B21" s="4">
        <f>'Condensed Financials'!B27</f>
        <v/>
      </c>
      <c r="C21" s="4">
        <f>'Condensed Financials'!C27</f>
        <v/>
      </c>
      <c r="D21" s="4">
        <f>'Condensed Financials'!D27</f>
        <v/>
      </c>
      <c r="E21" s="4">
        <f>'Condensed Financials'!E27</f>
        <v/>
      </c>
      <c r="F21" s="4">
        <f>'Condensed Financials'!F27</f>
        <v/>
      </c>
      <c r="G21" s="4">
        <f>'Condensed Financials'!G27</f>
        <v/>
      </c>
      <c r="H21" s="4">
        <f>'Condensed Financials'!H27</f>
        <v/>
      </c>
      <c r="I21" s="4">
        <f>'Condensed Financials'!I27</f>
        <v/>
      </c>
      <c r="J21" s="4">
        <f>'Condensed Financials'!J27</f>
        <v/>
      </c>
      <c r="K21" s="4">
        <f>'Condensed Financials'!K27</f>
        <v/>
      </c>
      <c r="L21" s="4">
        <f>'Condensed Financials'!K27</f>
        <v/>
      </c>
      <c r="M21" s="4">
        <f>M14*M$31</f>
        <v/>
      </c>
      <c r="N21" s="4">
        <f>N14*N$31</f>
        <v/>
      </c>
      <c r="O21" s="4">
        <f>O14*O$31</f>
        <v/>
      </c>
      <c r="P21" s="4">
        <f>P14*P$31</f>
        <v/>
      </c>
      <c r="Q21" s="4">
        <f>Q14*Q$31</f>
        <v/>
      </c>
      <c r="R21" s="4">
        <f>R14*R$31</f>
        <v/>
      </c>
      <c r="S21" s="4">
        <f>S14*S$31</f>
        <v/>
      </c>
      <c r="T21" s="4">
        <f>T14*T$31</f>
        <v/>
      </c>
      <c r="U21" s="4">
        <f>U14*U$31</f>
        <v/>
      </c>
    </row>
    <row r="22">
      <c r="A22" t="inlineStr">
        <is>
          <t>Net operating LT assets</t>
        </is>
      </c>
      <c r="B22" s="4">
        <f>'Condensed Financials'!B31</f>
        <v/>
      </c>
      <c r="C22" s="4">
        <f>'Condensed Financials'!C31</f>
        <v/>
      </c>
      <c r="D22" s="4">
        <f>'Condensed Financials'!D31</f>
        <v/>
      </c>
      <c r="E22" s="4">
        <f>'Condensed Financials'!E31</f>
        <v/>
      </c>
      <c r="F22" s="4">
        <f>'Condensed Financials'!F31</f>
        <v/>
      </c>
      <c r="G22" s="4">
        <f>'Condensed Financials'!G31</f>
        <v/>
      </c>
      <c r="H22" s="4">
        <f>'Condensed Financials'!H31</f>
        <v/>
      </c>
      <c r="I22" s="4">
        <f>'Condensed Financials'!I31</f>
        <v/>
      </c>
      <c r="J22" s="4">
        <f>'Condensed Financials'!J31</f>
        <v/>
      </c>
      <c r="K22" s="4">
        <f>'Condensed Financials'!K31</f>
        <v/>
      </c>
      <c r="L22" s="4">
        <f>'Condensed Financials'!K31</f>
        <v/>
      </c>
      <c r="M22" s="4">
        <f>M15*M$31</f>
        <v/>
      </c>
      <c r="N22" s="4">
        <f>N15*N$31</f>
        <v/>
      </c>
      <c r="O22" s="4">
        <f>O15*O$31</f>
        <v/>
      </c>
      <c r="P22" s="4">
        <f>P15*P$31</f>
        <v/>
      </c>
      <c r="Q22" s="4">
        <f>Q15*Q$31</f>
        <v/>
      </c>
      <c r="R22" s="4">
        <f>R15*R$31</f>
        <v/>
      </c>
      <c r="S22" s="4">
        <f>S15*S$31</f>
        <v/>
      </c>
      <c r="T22" s="4">
        <f>T15*T$31</f>
        <v/>
      </c>
      <c r="U22" s="4">
        <f>U15*U$31</f>
        <v/>
      </c>
    </row>
    <row r="23">
      <c r="A23" s="8" t="inlineStr">
        <is>
          <t>Total operating net assets</t>
        </is>
      </c>
      <c r="B23" s="4">
        <f>B21+B22</f>
        <v/>
      </c>
      <c r="C23" s="4">
        <f>C21+C22</f>
        <v/>
      </c>
      <c r="D23" s="4">
        <f>D21+D22</f>
        <v/>
      </c>
      <c r="E23" s="4">
        <f>E21+E22</f>
        <v/>
      </c>
      <c r="F23" s="4">
        <f>F21+F22</f>
        <v/>
      </c>
      <c r="G23" s="4">
        <f>G21+G22</f>
        <v/>
      </c>
      <c r="H23" s="4">
        <f>H21+H22</f>
        <v/>
      </c>
      <c r="I23" s="4">
        <f>I21+I22</f>
        <v/>
      </c>
      <c r="J23" s="4">
        <f>J21+J22</f>
        <v/>
      </c>
      <c r="K23" s="4">
        <f>K21+K22</f>
        <v/>
      </c>
      <c r="L23" s="4">
        <f>L21+L22</f>
        <v/>
      </c>
      <c r="M23" s="4">
        <f>M21+M22</f>
        <v/>
      </c>
      <c r="N23" s="4">
        <f>N21+N22</f>
        <v/>
      </c>
      <c r="O23" s="4">
        <f>O21+O22</f>
        <v/>
      </c>
      <c r="P23" s="4">
        <f>P21+P22</f>
        <v/>
      </c>
      <c r="Q23" s="4">
        <f>Q21+Q22</f>
        <v/>
      </c>
      <c r="R23" s="4">
        <f>R21+R22</f>
        <v/>
      </c>
      <c r="S23" s="4">
        <f>S21+S22</f>
        <v/>
      </c>
      <c r="T23" s="4">
        <f>T21+T22</f>
        <v/>
      </c>
      <c r="U23" s="4">
        <f>U21+U22</f>
        <v/>
      </c>
    </row>
    <row r="24"/>
    <row r="25">
      <c r="A25" t="inlineStr">
        <is>
          <t>Capital (Beginning)</t>
        </is>
      </c>
    </row>
    <row r="26">
      <c r="A26" t="inlineStr">
        <is>
          <t>Net debt</t>
        </is>
      </c>
      <c r="B26" s="4">
        <f>'Condensed Financials'!B37</f>
        <v/>
      </c>
      <c r="C26" s="4">
        <f>'Condensed Financials'!C37</f>
        <v/>
      </c>
      <c r="D26" s="4">
        <f>'Condensed Financials'!D37</f>
        <v/>
      </c>
      <c r="E26" s="4">
        <f>'Condensed Financials'!E37</f>
        <v/>
      </c>
      <c r="F26" s="4">
        <f>'Condensed Financials'!F37</f>
        <v/>
      </c>
      <c r="G26" s="4">
        <f>'Condensed Financials'!G37</f>
        <v/>
      </c>
      <c r="H26" s="4">
        <f>'Condensed Financials'!H37</f>
        <v/>
      </c>
      <c r="I26" s="4">
        <f>'Condensed Financials'!I37</f>
        <v/>
      </c>
      <c r="J26" s="4">
        <f>'Condensed Financials'!J37</f>
        <v/>
      </c>
      <c r="K26" s="4">
        <f>'Condensed Financials'!K37</f>
        <v/>
      </c>
      <c r="L26" s="4">
        <f>'Condensed Financials'!K37</f>
        <v/>
      </c>
      <c r="M26" s="4">
        <f>M17*M23</f>
        <v/>
      </c>
      <c r="N26" s="4">
        <f>N17*N23</f>
        <v/>
      </c>
      <c r="O26" s="4">
        <f>O17*O23</f>
        <v/>
      </c>
      <c r="P26" s="4">
        <f>P17*P23</f>
        <v/>
      </c>
      <c r="Q26" s="4">
        <f>Q17*Q23</f>
        <v/>
      </c>
      <c r="R26" s="4">
        <f>R17*R23</f>
        <v/>
      </c>
      <c r="S26" s="4">
        <f>S17*S23</f>
        <v/>
      </c>
      <c r="T26" s="4">
        <f>T17*T23</f>
        <v/>
      </c>
      <c r="U26" s="4">
        <f>U17*U23</f>
        <v/>
      </c>
    </row>
    <row r="27">
      <c r="A27" t="inlineStr">
        <is>
          <t>Common equity</t>
        </is>
      </c>
      <c r="B27" s="4">
        <f>'Condensed Financials'!B40</f>
        <v/>
      </c>
      <c r="C27" s="4">
        <f>'Condensed Financials'!C40</f>
        <v/>
      </c>
      <c r="D27" s="4">
        <f>'Condensed Financials'!D40</f>
        <v/>
      </c>
      <c r="E27" s="4">
        <f>'Condensed Financials'!E40</f>
        <v/>
      </c>
      <c r="F27" s="4">
        <f>'Condensed Financials'!F40</f>
        <v/>
      </c>
      <c r="G27" s="4">
        <f>'Condensed Financials'!G40</f>
        <v/>
      </c>
      <c r="H27" s="4">
        <f>'Condensed Financials'!H40</f>
        <v/>
      </c>
      <c r="I27" s="4">
        <f>'Condensed Financials'!I40</f>
        <v/>
      </c>
      <c r="J27" s="4">
        <f>'Condensed Financials'!J40</f>
        <v/>
      </c>
      <c r="K27" s="4">
        <f>'Condensed Financials'!K40</f>
        <v/>
      </c>
      <c r="L27" s="4">
        <f>'Condensed Financials'!K40</f>
        <v/>
      </c>
      <c r="M27" s="4">
        <f>M23-M26</f>
        <v/>
      </c>
      <c r="N27" s="4">
        <f>N23-N26</f>
        <v/>
      </c>
      <c r="O27" s="4">
        <f>O23-O26</f>
        <v/>
      </c>
      <c r="P27" s="4">
        <f>P23-P26</f>
        <v/>
      </c>
      <c r="Q27" s="4">
        <f>Q23-Q26</f>
        <v/>
      </c>
      <c r="R27" s="4">
        <f>R23-R26</f>
        <v/>
      </c>
      <c r="S27" s="4">
        <f>S23-S26</f>
        <v/>
      </c>
      <c r="T27" s="4">
        <f>T23-T26</f>
        <v/>
      </c>
      <c r="U27" s="4">
        <f>U23-U26</f>
        <v/>
      </c>
    </row>
    <row r="28">
      <c r="A28" s="8" t="inlineStr">
        <is>
          <t>Total Capital</t>
        </is>
      </c>
      <c r="B28" s="4">
        <f>B26+B27</f>
        <v/>
      </c>
      <c r="C28" s="4">
        <f>C26+C27</f>
        <v/>
      </c>
      <c r="D28" s="4">
        <f>D26+D27</f>
        <v/>
      </c>
      <c r="E28" s="4">
        <f>E26+E27</f>
        <v/>
      </c>
      <c r="F28" s="4">
        <f>F26+F27</f>
        <v/>
      </c>
      <c r="G28" s="4">
        <f>G26+G27</f>
        <v/>
      </c>
      <c r="H28" s="4">
        <f>H26+H27</f>
        <v/>
      </c>
      <c r="I28" s="4">
        <f>I26+I27</f>
        <v/>
      </c>
      <c r="J28" s="4">
        <f>J26+J27</f>
        <v/>
      </c>
      <c r="K28" s="4">
        <f>K26+K27</f>
        <v/>
      </c>
      <c r="L28" s="4">
        <f>L26+L27</f>
        <v/>
      </c>
      <c r="M28" s="4">
        <f>M26+M27</f>
        <v/>
      </c>
      <c r="N28" s="4">
        <f>N26+N27</f>
        <v/>
      </c>
      <c r="O28" s="4">
        <f>O26+O27</f>
        <v/>
      </c>
      <c r="P28" s="4">
        <f>P26+P27</f>
        <v/>
      </c>
      <c r="Q28" s="4">
        <f>Q26+Q27</f>
        <v/>
      </c>
      <c r="R28" s="4">
        <f>R26+R27</f>
        <v/>
      </c>
      <c r="S28" s="4">
        <f>S26+S27</f>
        <v/>
      </c>
      <c r="T28" s="4">
        <f>T26+T27</f>
        <v/>
      </c>
      <c r="U28" s="4">
        <f>U26+U27</f>
        <v/>
      </c>
    </row>
    <row r="29"/>
    <row r="30">
      <c r="A30" s="8" t="inlineStr">
        <is>
          <t>INCOME STATEMENT</t>
        </is>
      </c>
    </row>
    <row r="31">
      <c r="A31" t="inlineStr">
        <is>
          <t>Sales</t>
        </is>
      </c>
      <c r="B31" s="4">
        <f>'Income Statement'!B7</f>
        <v/>
      </c>
      <c r="C31" s="4">
        <f>'Income Statement'!C7</f>
        <v/>
      </c>
      <c r="D31" s="4">
        <f>'Income Statement'!D7</f>
        <v/>
      </c>
      <c r="E31" s="4">
        <f>'Income Statement'!E7</f>
        <v/>
      </c>
      <c r="F31" s="4">
        <f>'Income Statement'!F7</f>
        <v/>
      </c>
      <c r="G31" s="4">
        <f>'Income Statement'!G7</f>
        <v/>
      </c>
      <c r="H31" s="4">
        <f>'Income Statement'!H7</f>
        <v/>
      </c>
      <c r="I31" s="4">
        <f>'Income Statement'!I7</f>
        <v/>
      </c>
      <c r="J31" s="4">
        <f>'Income Statement'!J7</f>
        <v/>
      </c>
      <c r="K31" s="4">
        <f>'Income Statement'!K7</f>
        <v/>
      </c>
      <c r="L31" s="4">
        <f>K31*(1+L11)</f>
        <v/>
      </c>
      <c r="M31" s="4">
        <f>L31*(1+M11)</f>
        <v/>
      </c>
      <c r="N31" s="4">
        <f>M31*(1+N11)</f>
        <v/>
      </c>
      <c r="O31" s="4">
        <f>N31*(1+O11)</f>
        <v/>
      </c>
      <c r="P31" s="4">
        <f>O31*(1+P11)</f>
        <v/>
      </c>
      <c r="Q31" s="4">
        <f>P31*(1+Q11)</f>
        <v/>
      </c>
      <c r="R31" s="4">
        <f>Q31*(1+R11)</f>
        <v/>
      </c>
      <c r="S31" s="4">
        <f>R31*(1+S11)</f>
        <v/>
      </c>
      <c r="T31" s="4">
        <f>S31*(1+T11)</f>
        <v/>
      </c>
      <c r="U31" s="4">
        <f>T31*(1+U11)</f>
        <v/>
      </c>
    </row>
    <row r="32">
      <c r="A32" t="inlineStr">
        <is>
          <t>NOPAT</t>
        </is>
      </c>
      <c r="B32" s="4">
        <f>'Condensed Financials'!B17</f>
        <v/>
      </c>
      <c r="C32" s="4">
        <f>'Condensed Financials'!C17</f>
        <v/>
      </c>
      <c r="D32" s="4">
        <f>'Condensed Financials'!D17</f>
        <v/>
      </c>
      <c r="E32" s="4">
        <f>'Condensed Financials'!E17</f>
        <v/>
      </c>
      <c r="F32" s="4">
        <f>'Condensed Financials'!F17</f>
        <v/>
      </c>
      <c r="G32" s="4">
        <f>'Condensed Financials'!G17</f>
        <v/>
      </c>
      <c r="H32" s="4">
        <f>'Condensed Financials'!H17</f>
        <v/>
      </c>
      <c r="I32" s="4">
        <f>'Condensed Financials'!I17</f>
        <v/>
      </c>
      <c r="J32" s="4">
        <f>'Condensed Financials'!J17</f>
        <v/>
      </c>
      <c r="K32" s="4">
        <f>'Condensed Financials'!K17</f>
        <v/>
      </c>
      <c r="L32" s="4">
        <f>L31*L12</f>
        <v/>
      </c>
      <c r="M32" s="4">
        <f>M31*M12</f>
        <v/>
      </c>
      <c r="N32" s="4">
        <f>N31*N12</f>
        <v/>
      </c>
      <c r="O32" s="4">
        <f>O31*O12</f>
        <v/>
      </c>
      <c r="P32" s="4">
        <f>P31*P12</f>
        <v/>
      </c>
      <c r="Q32" s="4">
        <f>Q31*Q12</f>
        <v/>
      </c>
      <c r="R32" s="4">
        <f>R31*R12</f>
        <v/>
      </c>
      <c r="S32" s="4">
        <f>S31*S12</f>
        <v/>
      </c>
      <c r="T32" s="4">
        <f>T31*T12</f>
        <v/>
      </c>
      <c r="U32" s="4">
        <f>U31*U12</f>
        <v/>
      </c>
    </row>
    <row r="33">
      <c r="A33" t="inlineStr">
        <is>
          <t>After tax interest expense (income)</t>
        </is>
      </c>
      <c r="B33" s="4">
        <f>'Condensed Financials'!B16</f>
        <v/>
      </c>
      <c r="C33" s="4">
        <f>'Condensed Financials'!C16</f>
        <v/>
      </c>
      <c r="D33" s="4">
        <f>'Condensed Financials'!D16</f>
        <v/>
      </c>
      <c r="E33" s="4">
        <f>'Condensed Financials'!E16</f>
        <v/>
      </c>
      <c r="F33" s="4">
        <f>'Condensed Financials'!F16</f>
        <v/>
      </c>
      <c r="G33" s="4">
        <f>'Condensed Financials'!G16</f>
        <v/>
      </c>
      <c r="H33" s="4">
        <f>'Condensed Financials'!H16</f>
        <v/>
      </c>
      <c r="I33" s="4">
        <f>'Condensed Financials'!I16</f>
        <v/>
      </c>
      <c r="J33" s="4">
        <f>'Condensed Financials'!J16</f>
        <v/>
      </c>
      <c r="K33" s="4">
        <f>'Condensed Financials'!K16</f>
        <v/>
      </c>
      <c r="L33" s="4">
        <f>L26*$B$8</f>
        <v/>
      </c>
      <c r="M33" s="4">
        <f>M26*$B$8</f>
        <v/>
      </c>
      <c r="N33" s="4">
        <f>N26*$B$8</f>
        <v/>
      </c>
      <c r="O33" s="4">
        <f>O26*$B$8</f>
        <v/>
      </c>
      <c r="P33" s="4">
        <f>P26*$B$8</f>
        <v/>
      </c>
      <c r="Q33" s="4">
        <f>Q26*$B$8</f>
        <v/>
      </c>
      <c r="R33" s="4">
        <f>R26*$B$8</f>
        <v/>
      </c>
      <c r="S33" s="4">
        <f>S26*$B$8</f>
        <v/>
      </c>
      <c r="T33" s="4">
        <f>T26*$B$8</f>
        <v/>
      </c>
      <c r="U33" s="4">
        <f>U26*$B$8</f>
        <v/>
      </c>
    </row>
    <row r="34">
      <c r="A34" s="8" t="inlineStr">
        <is>
          <t>Net Income</t>
        </is>
      </c>
      <c r="B34" s="4">
        <f>B32-B33</f>
        <v/>
      </c>
      <c r="C34" s="4">
        <f>C32-C33</f>
        <v/>
      </c>
      <c r="D34" s="4">
        <f>D32-D33</f>
        <v/>
      </c>
      <c r="E34" s="4">
        <f>E32-E33</f>
        <v/>
      </c>
      <c r="F34" s="4">
        <f>F32-F33</f>
        <v/>
      </c>
      <c r="G34" s="4">
        <f>G32-G33</f>
        <v/>
      </c>
      <c r="H34" s="4">
        <f>H32-H33</f>
        <v/>
      </c>
      <c r="I34" s="4">
        <f>I32-I33</f>
        <v/>
      </c>
      <c r="J34" s="4">
        <f>J32-J33</f>
        <v/>
      </c>
      <c r="K34" s="4">
        <f>K32-K33</f>
        <v/>
      </c>
      <c r="L34" s="4">
        <f>L32-L33</f>
        <v/>
      </c>
      <c r="M34" s="4">
        <f>M32-M33</f>
        <v/>
      </c>
      <c r="N34" s="4">
        <f>N32-N33</f>
        <v/>
      </c>
      <c r="O34" s="4">
        <f>O32-O33</f>
        <v/>
      </c>
      <c r="P34" s="4">
        <f>P32-P33</f>
        <v/>
      </c>
      <c r="Q34" s="4">
        <f>Q32-Q33</f>
        <v/>
      </c>
      <c r="R34" s="4">
        <f>R32-R33</f>
        <v/>
      </c>
      <c r="S34" s="4">
        <f>S32-S33</f>
        <v/>
      </c>
      <c r="T34" s="4">
        <f>T32-T33</f>
        <v/>
      </c>
      <c r="U34" s="4">
        <f>U32-U33</f>
        <v/>
      </c>
    </row>
    <row r="35"/>
    <row r="36">
      <c r="A36" s="8" t="inlineStr">
        <is>
          <t>Return on (Beg) Equity</t>
        </is>
      </c>
      <c r="B36" s="32" t="inlineStr">
        <is>
          <t>n/a</t>
        </is>
      </c>
      <c r="C36" s="32">
        <f>IFERROR(C34/C27,0)</f>
        <v/>
      </c>
      <c r="D36" s="32">
        <f>IFERROR(D34/D27,0)</f>
        <v/>
      </c>
      <c r="E36" s="32">
        <f>IFERROR(E34/E27,0)</f>
        <v/>
      </c>
      <c r="F36" s="32">
        <f>IFERROR(F34/F27,0)</f>
        <v/>
      </c>
      <c r="G36" s="32">
        <f>IFERROR(G34/G27,0)</f>
        <v/>
      </c>
      <c r="H36" s="32">
        <f>IFERROR(H34/H27,0)</f>
        <v/>
      </c>
      <c r="I36" s="32">
        <f>IFERROR(I34/I27,0)</f>
        <v/>
      </c>
      <c r="J36" s="32">
        <f>IFERROR(J34/J27,0)</f>
        <v/>
      </c>
      <c r="K36" s="32">
        <f>IFERROR(K34/K27,0)</f>
        <v/>
      </c>
      <c r="L36" s="32">
        <f>IFERROR(L34/L27,0)</f>
        <v/>
      </c>
      <c r="M36" s="32">
        <f>IFERROR(M34/M27,0)</f>
        <v/>
      </c>
      <c r="N36" s="32">
        <f>IFERROR(N34/N27,0)</f>
        <v/>
      </c>
      <c r="O36" s="32">
        <f>IFERROR(O34/O27,0)</f>
        <v/>
      </c>
      <c r="P36" s="32">
        <f>IFERROR(P34/P27,0)</f>
        <v/>
      </c>
      <c r="Q36" s="32">
        <f>IFERROR(Q34/Q27,0)</f>
        <v/>
      </c>
      <c r="R36" s="32">
        <f>IFERROR(R34/R27,0)</f>
        <v/>
      </c>
      <c r="S36" s="32">
        <f>IFERROR(S34/S27,0)</f>
        <v/>
      </c>
      <c r="T36" s="32">
        <f>IFERROR(T34/T27,0)</f>
        <v/>
      </c>
      <c r="U36" s="32">
        <f>IFERROR(U34/U27,0)</f>
        <v/>
      </c>
      <c r="W36" s="1">
        <f>AVERAGE(C36:K36)</f>
        <v/>
      </c>
    </row>
    <row r="37">
      <c r="A37" s="8" t="inlineStr">
        <is>
          <t>Return on (Beg) NOA</t>
        </is>
      </c>
      <c r="B37" s="32" t="inlineStr">
        <is>
          <t>n/a</t>
        </is>
      </c>
      <c r="C37" s="32">
        <f>IFERROR(C32/C23,0)</f>
        <v/>
      </c>
      <c r="D37" s="32">
        <f>IFERROR(D32/D23,0)</f>
        <v/>
      </c>
      <c r="E37" s="32">
        <f>IFERROR(E32/E23,0)</f>
        <v/>
      </c>
      <c r="F37" s="32">
        <f>IFERROR(F32/F23,0)</f>
        <v/>
      </c>
      <c r="G37" s="32">
        <f>IFERROR(G32/G23,0)</f>
        <v/>
      </c>
      <c r="H37" s="32">
        <f>IFERROR(H32/H23,0)</f>
        <v/>
      </c>
      <c r="I37" s="32">
        <f>IFERROR(I32/I23,0)</f>
        <v/>
      </c>
      <c r="J37" s="32">
        <f>IFERROR(J32/J23,0)</f>
        <v/>
      </c>
      <c r="K37" s="32">
        <f>IFERROR(K32/K23,0)</f>
        <v/>
      </c>
      <c r="L37" s="32">
        <f>IFERROR(L32/L23,0)</f>
        <v/>
      </c>
      <c r="M37" s="32">
        <f>IFERROR(M32/M23,0)</f>
        <v/>
      </c>
      <c r="N37" s="32">
        <f>IFERROR(N32/N23,0)</f>
        <v/>
      </c>
      <c r="O37" s="32">
        <f>IFERROR(O32/O23,0)</f>
        <v/>
      </c>
      <c r="P37" s="32">
        <f>IFERROR(P32/P23,0)</f>
        <v/>
      </c>
      <c r="Q37" s="32">
        <f>IFERROR(Q32/Q23,0)</f>
        <v/>
      </c>
      <c r="R37" s="32">
        <f>IFERROR(R32/R23,0)</f>
        <v/>
      </c>
      <c r="S37" s="32">
        <f>IFERROR(S32/S23,0)</f>
        <v/>
      </c>
      <c r="T37" s="32">
        <f>IFERROR(T32/T23,0)</f>
        <v/>
      </c>
      <c r="U37" s="32">
        <f>IFERROR(U32/U23,0)</f>
        <v/>
      </c>
      <c r="W37" s="1">
        <f>AVERAGE(C37:K37)</f>
        <v/>
      </c>
    </row>
    <row r="38"/>
    <row r="39">
      <c r="A39" s="8" t="inlineStr">
        <is>
          <t>ABNORMAL EARNINGS &amp; VALUATION</t>
        </is>
      </c>
    </row>
    <row r="40">
      <c r="A40" t="inlineStr">
        <is>
          <t>Net Income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>
        <f>L34</f>
        <v/>
      </c>
      <c r="M40" s="4">
        <f>M34</f>
        <v/>
      </c>
      <c r="N40" s="4">
        <f>N34</f>
        <v/>
      </c>
      <c r="O40" s="4">
        <f>O34</f>
        <v/>
      </c>
      <c r="P40" s="4">
        <f>P34</f>
        <v/>
      </c>
      <c r="Q40" s="4">
        <f>Q34</f>
        <v/>
      </c>
      <c r="R40" s="4">
        <f>R34</f>
        <v/>
      </c>
      <c r="S40" s="4">
        <f>S34</f>
        <v/>
      </c>
      <c r="T40" s="4">
        <f>T34</f>
        <v/>
      </c>
      <c r="U40" s="4">
        <f>U34</f>
        <v/>
      </c>
    </row>
    <row r="41">
      <c r="A41" t="inlineStr">
        <is>
          <t>Capital charge (Beg Eq × Ke)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>
        <f>L27*$B$5</f>
        <v/>
      </c>
      <c r="M41" s="4">
        <f>M27*$B$5</f>
        <v/>
      </c>
      <c r="N41" s="4">
        <f>N27*$B$5</f>
        <v/>
      </c>
      <c r="O41" s="4">
        <f>O27*$B$5</f>
        <v/>
      </c>
      <c r="P41" s="4">
        <f>P27*$B$5</f>
        <v/>
      </c>
      <c r="Q41" s="4">
        <f>Q27*$B$5</f>
        <v/>
      </c>
      <c r="R41" s="4">
        <f>R27*$B$5</f>
        <v/>
      </c>
      <c r="S41" s="4">
        <f>S27*$B$5</f>
        <v/>
      </c>
      <c r="T41" s="4">
        <f>T27*$B$5</f>
        <v/>
      </c>
      <c r="U41" s="4">
        <f>U27*$B$5</f>
        <v/>
      </c>
    </row>
    <row r="42">
      <c r="A42" s="8" t="inlineStr">
        <is>
          <t>Abnormal earnings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20">
        <f>L40-L41</f>
        <v/>
      </c>
      <c r="M42" s="20">
        <f>M40-M41</f>
        <v/>
      </c>
      <c r="N42" s="20">
        <f>N40-N41</f>
        <v/>
      </c>
      <c r="O42" s="20">
        <f>O40-O41</f>
        <v/>
      </c>
      <c r="P42" s="20">
        <f>P40-P41</f>
        <v/>
      </c>
      <c r="Q42" s="20">
        <f>Q40-Q41</f>
        <v/>
      </c>
      <c r="R42" s="20">
        <f>R40-R41</f>
        <v/>
      </c>
      <c r="S42" s="20">
        <f>S40-S41</f>
        <v/>
      </c>
      <c r="T42" s="20">
        <f>T40-T41</f>
        <v/>
      </c>
      <c r="U42" s="20">
        <f>U40-U41</f>
        <v/>
      </c>
    </row>
    <row r="43">
      <c r="A43" t="inlineStr">
        <is>
          <t>Free Cash Flow to Equity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20">
        <f>L40+(K27-L27)</f>
        <v/>
      </c>
      <c r="M43" s="20">
        <f>M40+(L27-M27)</f>
        <v/>
      </c>
      <c r="N43" s="20">
        <f>N40+(M27-N27)</f>
        <v/>
      </c>
      <c r="O43" s="20">
        <f>O40+(N27-O27)</f>
        <v/>
      </c>
      <c r="P43" s="20">
        <f>P40+(O27-P27)</f>
        <v/>
      </c>
      <c r="Q43" s="20">
        <f>Q40+(P27-Q27)</f>
        <v/>
      </c>
      <c r="R43" s="20">
        <f>R40+(Q27-R27)</f>
        <v/>
      </c>
      <c r="S43" s="20">
        <f>S40+(R27-S27)</f>
        <v/>
      </c>
      <c r="T43" s="20">
        <f>T40+(S27-T27)</f>
        <v/>
      </c>
      <c r="U43" s="20">
        <f>U40+(T27-U27)</f>
        <v/>
      </c>
    </row>
    <row r="44">
      <c r="A44" t="inlineStr">
        <is>
          <t>PV Factor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>
        <f>1/(1+$B$5)</f>
        <v/>
      </c>
      <c r="M44" s="2">
        <f>L44/(1+$B$5)</f>
        <v/>
      </c>
      <c r="N44" s="2">
        <f>M44/(1+$B$5)</f>
        <v/>
      </c>
      <c r="O44" s="2">
        <f>N44/(1+$B$5)</f>
        <v/>
      </c>
      <c r="P44" s="2">
        <f>O44/(1+$B$5)</f>
        <v/>
      </c>
      <c r="Q44" s="2">
        <f>P44/(1+$B$5)</f>
        <v/>
      </c>
      <c r="R44" s="2">
        <f>Q44/(1+$B$5)</f>
        <v/>
      </c>
      <c r="S44" s="2">
        <f>R44/(1+$B$5)</f>
        <v/>
      </c>
      <c r="T44" s="2">
        <f>S44/(1+$B$5)</f>
        <v/>
      </c>
      <c r="U44" s="2">
        <f>T44/(1+$B$5)</f>
        <v/>
      </c>
    </row>
    <row r="45">
      <c r="A45" t="inlineStr">
        <is>
          <t>PV of abnormal earnings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>
        <f>L42*L44</f>
        <v/>
      </c>
      <c r="M45" s="4">
        <f>M42*M44</f>
        <v/>
      </c>
      <c r="N45" s="4">
        <f>N42*N44</f>
        <v/>
      </c>
      <c r="O45" s="4">
        <f>O42*O44</f>
        <v/>
      </c>
      <c r="P45" s="4">
        <f>P42*P44</f>
        <v/>
      </c>
      <c r="Q45" s="4">
        <f>Q42*Q44</f>
        <v/>
      </c>
      <c r="R45" s="4">
        <f>R42*R44</f>
        <v/>
      </c>
      <c r="S45" s="4">
        <f>S42*S44</f>
        <v/>
      </c>
      <c r="T45" s="4">
        <f>T42*T44</f>
        <v/>
      </c>
      <c r="U45" s="4">
        <f>U42*U44</f>
        <v/>
      </c>
    </row>
    <row r="46">
      <c r="A46" t="inlineStr">
        <is>
          <t>Sum of PV of abnormal earnings</t>
        </is>
      </c>
      <c r="L46" s="4">
        <f>SUM(L45:U45)</f>
        <v/>
      </c>
      <c r="U46" s="4">
        <f>U42*(1+$B$9)/($B$5-$B$9)</f>
        <v/>
      </c>
    </row>
    <row r="47">
      <c r="A47" t="inlineStr">
        <is>
          <t>Terminal value (PV)</t>
        </is>
      </c>
      <c r="L47" s="4">
        <f>U46*U44</f>
        <v/>
      </c>
    </row>
    <row r="48">
      <c r="A48" t="inlineStr">
        <is>
          <t>Book Value of Equity (anchor)</t>
        </is>
      </c>
      <c r="L48" s="4">
        <f>L27</f>
        <v/>
      </c>
    </row>
    <row r="49">
      <c r="A49" s="8" t="inlineStr">
        <is>
          <t>Intrinsic Value of Common Equity</t>
        </is>
      </c>
      <c r="L49" s="97">
        <f>L48+L47+L46</f>
        <v/>
      </c>
    </row>
    <row r="50">
      <c r="A50" t="inlineStr">
        <is>
          <t>Number of shares (diluted, M)</t>
        </is>
      </c>
      <c r="L50" s="16" t="n">
        <v>12230</v>
      </c>
    </row>
    <row r="51">
      <c r="A51" s="8" t="inlineStr">
        <is>
          <t>Intrinsic value per share</t>
        </is>
      </c>
      <c r="L51" s="98">
        <f>L49/L50</f>
        <v/>
      </c>
    </row>
    <row r="52">
      <c r="A52" s="99" t="n"/>
      <c r="B52" s="99" t="n"/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</row>
    <row r="53">
      <c r="A53" s="96" t="inlineStr">
        <is>
          <t>ENTERPRISE DCF (FCFF / WACC) — cross-check of the equity (RIM) value</t>
        </is>
      </c>
      <c r="B53" s="99" t="n"/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</row>
    <row r="54">
      <c r="A54" s="100" t="inlineStr">
        <is>
          <t>FCFF = NOPAT − ΔNet Operating Assets; EV = PV(FCFF) at WACC; Equity = EV − net debt (market value). Should ≈ the equity (RIM) value above. A material gap ⇒ recheck the market value of net debt or the WACC. Net cash here ⇒ the debt weight is negative; an inherent ~1–2% residual exists from terminal/leverage conventions.</t>
        </is>
      </c>
      <c r="K54" s="99" t="n"/>
      <c r="L54" s="99" t="n"/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</row>
    <row r="55">
      <c r="A55" s="99" t="n"/>
      <c r="B55" s="99" t="n"/>
      <c r="C55" s="99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</row>
    <row r="56">
      <c r="A56" s="96" t="inlineStr">
        <is>
          <t>WACC INPUTS</t>
        </is>
      </c>
      <c r="B56" s="99" t="n"/>
      <c r="C56" s="99" t="n"/>
      <c r="D56" s="99" t="n"/>
      <c r="E56" s="99" t="n"/>
      <c r="F56" s="99" t="n"/>
      <c r="G56" s="99" t="n"/>
      <c r="H56" s="99" t="n"/>
      <c r="I56" s="99" t="n"/>
      <c r="J56" s="99" t="n"/>
      <c r="K56" s="99" t="n"/>
      <c r="L56" s="99" t="n"/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</row>
    <row r="57">
      <c r="A57" s="99" t="inlineStr">
        <is>
          <t>Cost of equity (Ke)</t>
        </is>
      </c>
      <c r="B57" s="101">
        <f>B5</f>
        <v/>
      </c>
      <c r="C57" s="99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9" t="n"/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</row>
    <row r="58">
      <c r="A58" s="99" t="inlineStr">
        <is>
          <t>After-tax cost of debt (Kd)</t>
        </is>
      </c>
      <c r="B58" s="101">
        <f>B8</f>
        <v/>
      </c>
      <c r="C58" s="99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</row>
    <row r="59">
      <c r="A59" s="99" t="inlineStr">
        <is>
          <t>Net debt — book ($M)</t>
        </is>
      </c>
      <c r="B59" s="102">
        <f>L26</f>
        <v/>
      </c>
      <c r="C59" s="99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</row>
    <row r="60">
      <c r="A60" s="99" t="inlineStr">
        <is>
          <t>Net debt — market value ($M) — INPUT (book proxy; override when MV pulled)</t>
        </is>
      </c>
      <c r="B60" s="103" t="n">
        <v>-50006</v>
      </c>
      <c r="C60" s="99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</row>
    <row r="61">
      <c r="A61" s="99" t="inlineStr">
        <is>
          <t>Market cap ($M) = price × shares</t>
        </is>
      </c>
      <c r="B61" s="102">
        <f>363.6*L50</f>
        <v/>
      </c>
      <c r="C61" s="99" t="n"/>
      <c r="D61" s="99" t="n"/>
      <c r="E61" s="99" t="n"/>
      <c r="F61" s="99" t="n"/>
      <c r="G61" s="99" t="n"/>
      <c r="H61" s="99" t="n"/>
      <c r="I61" s="9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</row>
    <row r="62">
      <c r="A62" s="99" t="inlineStr">
        <is>
          <t>Equity weight wE</t>
        </is>
      </c>
      <c r="B62" s="101">
        <f>B61/(B61+B60)</f>
        <v/>
      </c>
      <c r="C62" s="99" t="n"/>
      <c r="D62" s="99" t="n"/>
      <c r="E62" s="99" t="n"/>
      <c r="F62" s="99" t="n"/>
      <c r="G62" s="99" t="n"/>
      <c r="H62" s="9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</row>
    <row r="63">
      <c r="A63" s="99" t="inlineStr">
        <is>
          <t>Debt weight wD</t>
        </is>
      </c>
      <c r="B63" s="101">
        <f>B60/(B61+B60)</f>
        <v/>
      </c>
      <c r="C63" s="99" t="n"/>
      <c r="D63" s="99" t="n"/>
      <c r="E63" s="99" t="n"/>
      <c r="F63" s="99" t="n"/>
      <c r="G63" s="99" t="n"/>
      <c r="H63" s="99" t="n"/>
      <c r="I63" s="9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</row>
    <row r="64">
      <c r="A64" s="99" t="inlineStr">
        <is>
          <t>WACC</t>
        </is>
      </c>
      <c r="B64" s="101">
        <f>B62*B57+B63*B58</f>
        <v/>
      </c>
      <c r="C64" s="99" t="n"/>
      <c r="D64" s="99" t="n"/>
      <c r="E64" s="99" t="n"/>
      <c r="F64" s="99" t="n"/>
      <c r="G64" s="99" t="n"/>
      <c r="H64" s="99" t="n"/>
      <c r="I64" s="9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</row>
    <row r="65">
      <c r="A65" s="99" t="n"/>
      <c r="B65" s="99" t="n"/>
      <c r="C65" s="99" t="n"/>
      <c r="D65" s="99" t="n"/>
      <c r="E65" s="99" t="n"/>
      <c r="F65" s="99" t="n"/>
      <c r="G65" s="99" t="n"/>
      <c r="H65" s="99" t="n"/>
      <c r="I65" s="99" t="n"/>
      <c r="J65" s="99" t="n"/>
      <c r="K65" s="99" t="n"/>
      <c r="L65" s="99" t="n"/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</row>
    <row r="66">
      <c r="A66" s="99" t="inlineStr">
        <is>
          <t>FCFF = NOPAT − ΔNet Op Assets ($M)</t>
        </is>
      </c>
      <c r="B66" s="99" t="n"/>
      <c r="C66" s="99" t="n"/>
      <c r="D66" s="99" t="n"/>
      <c r="E66" s="99" t="n"/>
      <c r="F66" s="99" t="n"/>
      <c r="G66" s="99" t="n"/>
      <c r="H66" s="99" t="n"/>
      <c r="I66" s="99" t="n"/>
      <c r="J66" s="99" t="n"/>
      <c r="K66" s="99" t="n"/>
      <c r="L66" s="102">
        <f>L32-(M23-L23)</f>
        <v/>
      </c>
      <c r="M66" s="102">
        <f>M32-(N23-M23)</f>
        <v/>
      </c>
      <c r="N66" s="102">
        <f>N32-(O23-N23)</f>
        <v/>
      </c>
      <c r="O66" s="102">
        <f>O32-(P23-O23)</f>
        <v/>
      </c>
      <c r="P66" s="102">
        <f>P32-(Q23-P23)</f>
        <v/>
      </c>
      <c r="Q66" s="102">
        <f>Q32-(R23-Q23)</f>
        <v/>
      </c>
      <c r="R66" s="102">
        <f>R32-(S23-R23)</f>
        <v/>
      </c>
      <c r="S66" s="102">
        <f>S32-(T23-S23)</f>
        <v/>
      </c>
      <c r="T66" s="102">
        <f>T32-(U23-T23)</f>
        <v/>
      </c>
      <c r="U66" s="102">
        <f>U32-U23*B9</f>
        <v/>
      </c>
    </row>
    <row r="67">
      <c r="A67" s="99" t="inlineStr">
        <is>
          <t>PV factor @ WACC</t>
        </is>
      </c>
      <c r="B67" s="99" t="n"/>
      <c r="C67" s="99" t="n"/>
      <c r="D67" s="99" t="n"/>
      <c r="E67" s="99" t="n"/>
      <c r="F67" s="99" t="n"/>
      <c r="G67" s="99" t="n"/>
      <c r="H67" s="99" t="n"/>
      <c r="I67" s="99" t="n"/>
      <c r="J67" s="99" t="n"/>
      <c r="K67" s="99" t="n"/>
      <c r="L67" s="104">
        <f>1/(1+$B$64)^1</f>
        <v/>
      </c>
      <c r="M67" s="104">
        <f>1/(1+$B$64)^2</f>
        <v/>
      </c>
      <c r="N67" s="104">
        <f>1/(1+$B$64)^3</f>
        <v/>
      </c>
      <c r="O67" s="104">
        <f>1/(1+$B$64)^4</f>
        <v/>
      </c>
      <c r="P67" s="104">
        <f>1/(1+$B$64)^5</f>
        <v/>
      </c>
      <c r="Q67" s="104">
        <f>1/(1+$B$64)^6</f>
        <v/>
      </c>
      <c r="R67" s="104">
        <f>1/(1+$B$64)^7</f>
        <v/>
      </c>
      <c r="S67" s="104">
        <f>1/(1+$B$64)^8</f>
        <v/>
      </c>
      <c r="T67" s="104">
        <f>1/(1+$B$64)^9</f>
        <v/>
      </c>
      <c r="U67" s="104">
        <f>1/(1+$B$64)^10</f>
        <v/>
      </c>
    </row>
    <row r="68">
      <c r="A68" s="99" t="inlineStr">
        <is>
          <t>PV of FCFF ($M)</t>
        </is>
      </c>
      <c r="B68" s="99" t="n"/>
      <c r="C68" s="99" t="n"/>
      <c r="D68" s="99" t="n"/>
      <c r="E68" s="99" t="n"/>
      <c r="F68" s="99" t="n"/>
      <c r="G68" s="99" t="n"/>
      <c r="H68" s="99" t="n"/>
      <c r="I68" s="99" t="n"/>
      <c r="J68" s="99" t="n"/>
      <c r="K68" s="99" t="n"/>
      <c r="L68" s="102">
        <f>L66*L67</f>
        <v/>
      </c>
      <c r="M68" s="102">
        <f>M66*M67</f>
        <v/>
      </c>
      <c r="N68" s="102">
        <f>N66*N67</f>
        <v/>
      </c>
      <c r="O68" s="102">
        <f>O66*O67</f>
        <v/>
      </c>
      <c r="P68" s="102">
        <f>P66*P67</f>
        <v/>
      </c>
      <c r="Q68" s="102">
        <f>Q66*Q67</f>
        <v/>
      </c>
      <c r="R68" s="102">
        <f>R66*R67</f>
        <v/>
      </c>
      <c r="S68" s="102">
        <f>S66*S67</f>
        <v/>
      </c>
      <c r="T68" s="102">
        <f>T66*T67</f>
        <v/>
      </c>
      <c r="U68" s="102">
        <f>U66*U67</f>
        <v/>
      </c>
    </row>
    <row r="69">
      <c r="A69" s="99" t="n"/>
      <c r="B69" s="99" t="n"/>
      <c r="C69" s="99" t="n"/>
      <c r="D69" s="99" t="n"/>
      <c r="E69" s="99" t="n"/>
      <c r="F69" s="99" t="n"/>
      <c r="G69" s="99" t="n"/>
      <c r="H69" s="99" t="n"/>
      <c r="I69" s="99" t="n"/>
      <c r="J69" s="99" t="n"/>
      <c r="K69" s="99" t="n"/>
      <c r="L69" s="99" t="n"/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</row>
    <row r="70" ht="16" customHeight="1" s="92">
      <c r="A70" s="105" t="inlineStr">
        <is>
          <t>Σ PV of FCFF (explicit 10y)</t>
        </is>
      </c>
      <c r="B70" s="99" t="n"/>
      <c r="C70" s="99" t="n"/>
      <c r="D70" s="99" t="n"/>
      <c r="E70" s="99" t="n"/>
      <c r="F70" s="99" t="n"/>
      <c r="G70" s="99" t="n"/>
      <c r="H70" s="99" t="n"/>
      <c r="I70" s="99" t="n"/>
      <c r="J70" s="99" t="n"/>
      <c r="K70" s="99" t="n"/>
      <c r="L70" s="102">
        <f>SUM(L68:U68)</f>
        <v/>
      </c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</row>
    <row r="71">
      <c r="A71" s="99" t="inlineStr">
        <is>
          <t>Terminal value (PV)</t>
        </is>
      </c>
      <c r="B71" s="99" t="n"/>
      <c r="C71" s="99" t="n"/>
      <c r="D71" s="99" t="n"/>
      <c r="E71" s="99" t="n"/>
      <c r="F71" s="99" t="n"/>
      <c r="G71" s="99" t="n"/>
      <c r="H71" s="99" t="n"/>
      <c r="I71" s="99" t="n"/>
      <c r="J71" s="99" t="n"/>
      <c r="K71" s="99" t="n"/>
      <c r="L71" s="102">
        <f>U66*(1+B9)/($B$64-B9)*U67</f>
        <v/>
      </c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</row>
    <row r="72">
      <c r="A72" s="96" t="inlineStr">
        <is>
          <t>Enterprise value ($M)</t>
        </is>
      </c>
      <c r="B72" s="99" t="n"/>
      <c r="C72" s="99" t="n"/>
      <c r="D72" s="99" t="n"/>
      <c r="E72" s="99" t="n"/>
      <c r="F72" s="99" t="n"/>
      <c r="G72" s="99" t="n"/>
      <c r="H72" s="99" t="n"/>
      <c r="I72" s="99" t="n"/>
      <c r="J72" s="99" t="n"/>
      <c r="K72" s="99" t="n"/>
      <c r="L72" s="97">
        <f>L70+L71</f>
        <v/>
      </c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</row>
    <row r="73">
      <c r="A73" s="99" t="inlineStr">
        <is>
          <t>less: net debt (market value)</t>
        </is>
      </c>
      <c r="B73" s="99" t="n"/>
      <c r="C73" s="99" t="n"/>
      <c r="D73" s="99" t="n"/>
      <c r="E73" s="99" t="n"/>
      <c r="F73" s="99" t="n"/>
      <c r="G73" s="99" t="n"/>
      <c r="H73" s="99" t="n"/>
      <c r="I73" s="99" t="n"/>
      <c r="J73" s="99" t="n"/>
      <c r="K73" s="99" t="n"/>
      <c r="L73" s="102">
        <f>B60</f>
        <v/>
      </c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</row>
    <row r="74">
      <c r="A74" s="96" t="inlineStr">
        <is>
          <t>Equity value — DCF ($M)</t>
        </is>
      </c>
      <c r="B74" s="99" t="n"/>
      <c r="C74" s="99" t="n"/>
      <c r="D74" s="99" t="n"/>
      <c r="E74" s="99" t="n"/>
      <c r="F74" s="99" t="n"/>
      <c r="G74" s="99" t="n"/>
      <c r="H74" s="99" t="n"/>
      <c r="I74" s="99" t="n"/>
      <c r="J74" s="99" t="n"/>
      <c r="K74" s="99" t="n"/>
      <c r="L74" s="97">
        <f>L72-L73</f>
        <v/>
      </c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</row>
    <row r="75">
      <c r="A75" s="96" t="inlineStr">
        <is>
          <t>IVPS — enterprise DCF</t>
        </is>
      </c>
      <c r="B75" s="99" t="n"/>
      <c r="C75" s="99" t="n"/>
      <c r="D75" s="99" t="n"/>
      <c r="E75" s="99" t="n"/>
      <c r="F75" s="99" t="n"/>
      <c r="G75" s="99" t="n"/>
      <c r="H75" s="99" t="n"/>
      <c r="I75" s="99" t="n"/>
      <c r="J75" s="99" t="n"/>
      <c r="K75" s="99" t="n"/>
      <c r="L75" s="98">
        <f>L74/L50</f>
        <v/>
      </c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</row>
    <row r="76">
      <c r="A76" s="99" t="n"/>
      <c r="B76" s="99" t="n"/>
      <c r="C76" s="99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</row>
    <row r="77">
      <c r="A77" s="96" t="inlineStr">
        <is>
          <t>RECONCILIATION vs equity (RIM) value</t>
        </is>
      </c>
      <c r="B77" s="99" t="n"/>
      <c r="C77" s="99" t="n"/>
      <c r="D77" s="99" t="n"/>
      <c r="E77" s="99" t="n"/>
      <c r="F77" s="99" t="n"/>
      <c r="G77" s="99" t="n"/>
      <c r="H77" s="99" t="n"/>
      <c r="I77" s="99" t="n"/>
      <c r="J77" s="99" t="n"/>
      <c r="K77" s="99" t="n"/>
      <c r="L77" s="99" t="n"/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</row>
    <row r="78">
      <c r="A78" s="99" t="inlineStr">
        <is>
          <t>IVPS — equity method (RIM)</t>
        </is>
      </c>
      <c r="B78" s="99" t="n"/>
      <c r="C78" s="99" t="n"/>
      <c r="D78" s="99" t="n"/>
      <c r="E78" s="99" t="n"/>
      <c r="F78" s="99" t="n"/>
      <c r="G78" s="99" t="n"/>
      <c r="H78" s="99" t="n"/>
      <c r="I78" s="99" t="n"/>
      <c r="J78" s="99" t="n"/>
      <c r="K78" s="99" t="n"/>
      <c r="L78" s="106">
        <f>L51</f>
        <v/>
      </c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</row>
    <row r="79">
      <c r="A79" s="99" t="inlineStr">
        <is>
          <t>IVPS — enterprise DCF</t>
        </is>
      </c>
      <c r="B79" s="99" t="n"/>
      <c r="C79" s="99" t="n"/>
      <c r="D79" s="99" t="n"/>
      <c r="E79" s="99" t="n"/>
      <c r="F79" s="99" t="n"/>
      <c r="G79" s="99" t="n"/>
      <c r="H79" s="99" t="n"/>
      <c r="I79" s="99" t="n"/>
      <c r="J79" s="99" t="n"/>
      <c r="K79" s="99" t="n"/>
      <c r="L79" s="106">
        <f>L75</f>
        <v/>
      </c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</row>
    <row r="80">
      <c r="A80" s="96" t="inlineStr">
        <is>
          <t>Gap (DCF − RIM)</t>
        </is>
      </c>
      <c r="B80" s="99" t="n"/>
      <c r="C80" s="99" t="n"/>
      <c r="D80" s="99" t="n"/>
      <c r="E80" s="99" t="n"/>
      <c r="F80" s="99" t="n"/>
      <c r="G80" s="99" t="n"/>
      <c r="H80" s="99" t="n"/>
      <c r="I80" s="99" t="n"/>
      <c r="J80" s="99" t="n"/>
      <c r="K80" s="99" t="n"/>
      <c r="L80" s="107">
        <f>L75-L51</f>
        <v/>
      </c>
      <c r="M80" s="101">
        <f>(L75-L51)/L51</f>
        <v/>
      </c>
      <c r="N80" s="99" t="n"/>
      <c r="O80" s="99" t="n"/>
      <c r="P80" s="99" t="n"/>
      <c r="Q80" s="99" t="n"/>
      <c r="R80" s="99" t="n"/>
      <c r="S80" s="99" t="n"/>
      <c r="T80" s="99" t="n"/>
      <c r="U80" s="99" t="n"/>
    </row>
    <row r="81">
      <c r="A81" s="100" t="inlineStr">
        <is>
          <t>≈0 expected. Material gap ⇒ recheck net-debt market value (row above) or WACC. Inherent ~1–2% residual from terminal/leverage conventions.</t>
        </is>
      </c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</row>
    <row r="82">
      <c r="A82" s="99" t="n"/>
      <c r="B82" s="99" t="n"/>
      <c r="C82" s="99" t="n"/>
      <c r="D82" s="99" t="n"/>
      <c r="E82" s="99" t="n"/>
      <c r="F82" s="99" t="n"/>
      <c r="G82" s="99" t="n"/>
      <c r="H82" s="99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</row>
    <row r="83">
      <c r="A83" s="76" t="inlineStr">
        <is>
          <t>SCENARIO RATIONALE — BEAR</t>
        </is>
      </c>
      <c r="B83" s="99" t="n"/>
      <c r="C83" s="99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</row>
    <row r="84">
      <c r="A84" s="99" t="inlineStr">
        <is>
          <t>ILLUSTRATIVE BEAR — generic deceleration-and-compression inputs for demonstration. Not analysis. Run /bav-pipeline to build scenarios from an actual strategy report.</t>
        </is>
      </c>
      <c r="B84" s="99" t="n"/>
      <c r="C84" s="99" t="n"/>
      <c r="D84" s="99" t="n"/>
      <c r="E84" s="99" t="n"/>
      <c r="F84" s="99" t="n"/>
      <c r="G84" s="99" t="n"/>
      <c r="H84" s="99" t="n"/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</row>
    <row r="85">
      <c r="A85" s="76" t="n"/>
      <c r="B85" s="99" t="n"/>
      <c r="C85" s="99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</row>
    <row r="86">
      <c r="B86" s="99" t="n"/>
      <c r="C86" s="99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</row>
    <row r="87">
      <c r="A87" s="99" t="n"/>
      <c r="B87" s="99" t="n"/>
      <c r="C87" s="99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</row>
    <row r="88">
      <c r="A88" s="76" t="n"/>
      <c r="B88" s="99" t="n"/>
      <c r="C88" s="99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</row>
    <row r="89">
      <c r="B89" s="99" t="n"/>
      <c r="C89" s="99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</row>
    <row r="90">
      <c r="A90" s="99" t="n"/>
      <c r="B90" s="99" t="n"/>
      <c r="C90" s="99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</row>
    <row r="91">
      <c r="A91" s="76" t="n"/>
      <c r="B91" s="99" t="n"/>
      <c r="C91" s="99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9" t="n"/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</row>
    <row r="92">
      <c r="B92" s="99" t="n"/>
      <c r="C92" s="99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</row>
    <row r="93">
      <c r="A93" s="99" t="n"/>
      <c r="B93" s="99" t="n"/>
      <c r="C93" s="99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</row>
    <row r="94">
      <c r="A94" s="76" t="n"/>
      <c r="B94" s="99" t="n"/>
      <c r="C94" s="99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</row>
    <row r="95">
      <c r="B95" s="99" t="n"/>
      <c r="C95" s="99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</row>
    <row r="96">
      <c r="A96" s="74" t="n"/>
      <c r="B96" s="99" t="n"/>
      <c r="C96" s="99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</row>
    <row r="97">
      <c r="A97" s="105" t="n"/>
      <c r="B97" s="99" t="n"/>
      <c r="C97" s="99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</row>
  </sheetData>
  <mergeCells count="2">
    <mergeCell ref="A81:J81"/>
    <mergeCell ref="A54:J5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97"/>
  <sheetViews>
    <sheetView zoomScale="160" zoomScaleNormal="160" workbookViewId="0">
      <pane xSplit="1" topLeftCell="B1" activePane="topRight" state="frozen"/>
      <selection pane="topRight" activeCell="U12" sqref="R12:U12"/>
    </sheetView>
  </sheetViews>
  <sheetFormatPr baseColWidth="10" defaultColWidth="8.83203125" defaultRowHeight="15"/>
  <cols>
    <col width="42" customWidth="1" style="92" min="1" max="1"/>
    <col width="14" customWidth="1" style="92" min="2" max="21"/>
  </cols>
  <sheetData>
    <row r="1">
      <c r="A1" s="8" t="inlineStr">
        <is>
          <t>MARKET DATA (Given) — BASE CASE</t>
        </is>
      </c>
    </row>
    <row r="2">
      <c r="A2" t="inlineStr">
        <is>
          <t>Beta</t>
        </is>
      </c>
      <c r="B2" s="26" t="n">
        <v>1</v>
      </c>
    </row>
    <row r="3">
      <c r="A3" t="inlineStr">
        <is>
          <t>Risk premium</t>
        </is>
      </c>
      <c r="B3" s="27" t="n">
        <v>0.05</v>
      </c>
    </row>
    <row r="4">
      <c r="A4" t="inlineStr">
        <is>
          <t>Risk free rate</t>
        </is>
      </c>
      <c r="B4" s="27" t="n">
        <v>0.042</v>
      </c>
    </row>
    <row r="5">
      <c r="A5" t="inlineStr">
        <is>
          <t>Cost of equity (Ke)</t>
        </is>
      </c>
      <c r="B5" s="25">
        <f>B4+B3*B2</f>
        <v/>
      </c>
    </row>
    <row r="6">
      <c r="A6" t="inlineStr">
        <is>
          <t>Tax Rate</t>
        </is>
      </c>
      <c r="B6" s="27" t="n">
        <v>0.17</v>
      </c>
    </row>
    <row r="7">
      <c r="A7" t="inlineStr">
        <is>
          <t>Pre-Tax Net Cost of Net Debt</t>
        </is>
      </c>
      <c r="B7" s="25">
        <f>B8/(1-B6)</f>
        <v/>
      </c>
    </row>
    <row r="8">
      <c r="A8" t="inlineStr">
        <is>
          <t>After-Tax Net Cost of Net Debt</t>
        </is>
      </c>
      <c r="B8" s="25">
        <f>AVERAGE('ALT DuPont'!H23:K23)</f>
        <v/>
      </c>
    </row>
    <row r="9">
      <c r="A9" s="74" t="inlineStr">
        <is>
          <t>Terminal growth (g)</t>
        </is>
      </c>
      <c r="B9" s="95">
        <f>U11</f>
        <v/>
      </c>
    </row>
    <row r="10">
      <c r="A10" s="8" t="inlineStr">
        <is>
          <t>Year</t>
        </is>
      </c>
      <c r="B10" s="28">
        <f>YEAR('Income Statement'!B6)</f>
        <v/>
      </c>
      <c r="C10" s="28">
        <f>YEAR('Income Statement'!C6)</f>
        <v/>
      </c>
      <c r="D10" s="28">
        <f>YEAR('Income Statement'!D6)</f>
        <v/>
      </c>
      <c r="E10" s="28">
        <f>YEAR('Income Statement'!E6)</f>
        <v/>
      </c>
      <c r="F10" s="28">
        <f>YEAR('Income Statement'!F6)</f>
        <v/>
      </c>
      <c r="G10" s="28">
        <f>YEAR('Income Statement'!G6)</f>
        <v/>
      </c>
      <c r="H10" s="28">
        <f>YEAR('Income Statement'!H6)</f>
        <v/>
      </c>
      <c r="I10" s="28">
        <f>YEAR('Income Statement'!I6)</f>
        <v/>
      </c>
      <c r="J10" s="28">
        <f>YEAR('Income Statement'!J6)</f>
        <v/>
      </c>
      <c r="K10" s="28">
        <f>YEAR('Income Statement'!K6)</f>
        <v/>
      </c>
      <c r="L10" s="28">
        <f>K10+1</f>
        <v/>
      </c>
      <c r="M10" s="28">
        <f>L10+1</f>
        <v/>
      </c>
      <c r="N10" s="28">
        <f>M10+1</f>
        <v/>
      </c>
      <c r="O10" s="28">
        <f>N10+1</f>
        <v/>
      </c>
      <c r="P10" s="28">
        <f>O10+1</f>
        <v/>
      </c>
      <c r="Q10" s="28">
        <f>P10+1</f>
        <v/>
      </c>
      <c r="R10" s="28">
        <f>Q10+1</f>
        <v/>
      </c>
      <c r="S10" s="28">
        <f>R10+1</f>
        <v/>
      </c>
      <c r="T10" s="28">
        <f>S10+1</f>
        <v/>
      </c>
      <c r="U10" s="28">
        <f>T10+1</f>
        <v/>
      </c>
      <c r="W10" s="96" t="inlineStr">
        <is>
          <t>Historical Average</t>
        </is>
      </c>
    </row>
    <row r="11">
      <c r="A11" t="inlineStr">
        <is>
          <t>Revenue Growth Assumption</t>
        </is>
      </c>
      <c r="B11" s="1" t="inlineStr">
        <is>
          <t>n/a</t>
        </is>
      </c>
      <c r="C11" s="1">
        <f>C31/B31-1</f>
        <v/>
      </c>
      <c r="D11" s="1">
        <f>D31/C31-1</f>
        <v/>
      </c>
      <c r="E11" s="1">
        <f>E31/D31-1</f>
        <v/>
      </c>
      <c r="F11" s="1">
        <f>F31/E31-1</f>
        <v/>
      </c>
      <c r="G11" s="1">
        <f>G31/F31-1</f>
        <v/>
      </c>
      <c r="H11" s="1">
        <f>H31/G31-1</f>
        <v/>
      </c>
      <c r="I11" s="1">
        <f>I31/H31-1</f>
        <v/>
      </c>
      <c r="J11" s="1">
        <f>J31/I31-1</f>
        <v/>
      </c>
      <c r="K11" s="1">
        <f>K31/J31-1</f>
        <v/>
      </c>
      <c r="L11" s="29" t="n">
        <v>0.15</v>
      </c>
      <c r="M11" s="29" t="n">
        <v>0.12</v>
      </c>
      <c r="N11" s="29" t="n">
        <v>0.1</v>
      </c>
      <c r="O11" s="29" t="n">
        <v>0.08</v>
      </c>
      <c r="P11" s="29" t="n">
        <v>0.07000000000000001</v>
      </c>
      <c r="Q11" s="29" t="n">
        <v>0.06</v>
      </c>
      <c r="R11" s="29" t="n">
        <v>0.05</v>
      </c>
      <c r="S11" s="29" t="n">
        <v>0.045</v>
      </c>
      <c r="T11" s="29" t="n">
        <v>0.04</v>
      </c>
      <c r="U11" s="29" t="n">
        <v>0.035</v>
      </c>
      <c r="W11" s="1">
        <f>AVERAGE(C11:K11)</f>
        <v/>
      </c>
    </row>
    <row r="12">
      <c r="A12" t="inlineStr">
        <is>
          <t>NOPAT Margin</t>
        </is>
      </c>
      <c r="B12" s="1">
        <f>B32/B31</f>
        <v/>
      </c>
      <c r="C12" s="1">
        <f>C32/C31</f>
        <v/>
      </c>
      <c r="D12" s="1">
        <f>D32/D31</f>
        <v/>
      </c>
      <c r="E12" s="1">
        <f>E32/E31</f>
        <v/>
      </c>
      <c r="F12" s="1">
        <f>F32/F31</f>
        <v/>
      </c>
      <c r="G12" s="1">
        <f>G32/G31</f>
        <v/>
      </c>
      <c r="H12" s="1">
        <f>H32/H31</f>
        <v/>
      </c>
      <c r="I12" s="1">
        <f>I32/I31</f>
        <v/>
      </c>
      <c r="J12" s="1">
        <f>J32/J31</f>
        <v/>
      </c>
      <c r="K12" s="1">
        <f>K32/K31</f>
        <v/>
      </c>
      <c r="L12" s="29" t="n">
        <v>0.28</v>
      </c>
      <c r="M12" s="29" t="n">
        <v>0.275</v>
      </c>
      <c r="N12" s="29" t="n">
        <v>0.27</v>
      </c>
      <c r="O12" s="29" t="n">
        <v>0.265</v>
      </c>
      <c r="P12" s="29" t="n">
        <v>0.26</v>
      </c>
      <c r="Q12" s="29" t="n">
        <v>0.255</v>
      </c>
      <c r="R12" s="29" t="n">
        <v>0.25</v>
      </c>
      <c r="S12" s="29" t="n">
        <v>0.245</v>
      </c>
      <c r="T12" s="29" t="n">
        <v>0.24</v>
      </c>
      <c r="U12" s="29" t="n">
        <v>0.24</v>
      </c>
      <c r="W12" s="1">
        <f>AVERAGE(C12:K12)</f>
        <v/>
      </c>
    </row>
    <row r="13"/>
    <row r="14">
      <c r="A14" t="inlineStr">
        <is>
          <t>(Beg) NOWC / Sales</t>
        </is>
      </c>
      <c r="B14" s="2" t="inlineStr">
        <is>
          <t>n/a</t>
        </is>
      </c>
      <c r="C14" s="2">
        <f>C21/C31</f>
        <v/>
      </c>
      <c r="D14" s="2">
        <f>D21/D31</f>
        <v/>
      </c>
      <c r="E14" s="2">
        <f>E21/E31</f>
        <v/>
      </c>
      <c r="F14" s="2">
        <f>F21/F31</f>
        <v/>
      </c>
      <c r="G14" s="2">
        <f>G21/G31</f>
        <v/>
      </c>
      <c r="H14" s="2">
        <f>H21/H31</f>
        <v/>
      </c>
      <c r="I14" s="2">
        <f>I21/I31</f>
        <v/>
      </c>
      <c r="J14" s="2">
        <f>J21/J31</f>
        <v/>
      </c>
      <c r="K14" s="2">
        <f>K21/K31</f>
        <v/>
      </c>
      <c r="L14" s="30" t="n">
        <v>0.02</v>
      </c>
      <c r="M14" s="31" t="n">
        <v>0.025</v>
      </c>
      <c r="N14" s="31" t="n">
        <v>0.03</v>
      </c>
      <c r="O14" s="31" t="n">
        <v>0.035</v>
      </c>
      <c r="P14" s="31" t="n">
        <v>0.04</v>
      </c>
      <c r="Q14" s="31" t="n">
        <v>0.045</v>
      </c>
      <c r="R14" s="31" t="n">
        <v>0.05</v>
      </c>
      <c r="S14" s="31" t="n">
        <v>0.055</v>
      </c>
      <c r="T14" s="31" t="n">
        <v>0.06</v>
      </c>
      <c r="U14" s="31" t="n">
        <v>0.065</v>
      </c>
      <c r="W14" s="2">
        <f>AVERAGE(C14:K14)</f>
        <v/>
      </c>
    </row>
    <row r="15">
      <c r="A15" t="inlineStr">
        <is>
          <t>(Beg) Net Op LT Assets / Sales</t>
        </is>
      </c>
      <c r="B15" s="2" t="inlineStr">
        <is>
          <t>n/a</t>
        </is>
      </c>
      <c r="C15" s="2">
        <f>C22/C31</f>
        <v/>
      </c>
      <c r="D15" s="2">
        <f>D22/D31</f>
        <v/>
      </c>
      <c r="E15" s="2">
        <f>E22/E31</f>
        <v/>
      </c>
      <c r="F15" s="2">
        <f>F22/F31</f>
        <v/>
      </c>
      <c r="G15" s="2">
        <f>G22/G31</f>
        <v/>
      </c>
      <c r="H15" s="2">
        <f>H22/H31</f>
        <v/>
      </c>
      <c r="I15" s="2">
        <f>I22/I31</f>
        <v/>
      </c>
      <c r="J15" s="2">
        <f>J22/J31</f>
        <v/>
      </c>
      <c r="K15" s="2">
        <f>K22/K31</f>
        <v/>
      </c>
      <c r="L15" s="30" t="n">
        <v>0.5</v>
      </c>
      <c r="M15" s="31" t="n">
        <v>0.55</v>
      </c>
      <c r="N15" s="31" t="n">
        <v>0.6</v>
      </c>
      <c r="O15" s="31" t="n">
        <v>0.65</v>
      </c>
      <c r="P15" s="31" t="n">
        <v>0.7</v>
      </c>
      <c r="Q15" s="31" t="n">
        <v>0.75</v>
      </c>
      <c r="R15" s="31" t="n">
        <v>0.8</v>
      </c>
      <c r="S15" s="31" t="n">
        <v>0.85</v>
      </c>
      <c r="T15" s="31" t="n">
        <v>0.9</v>
      </c>
      <c r="U15" s="31" t="n">
        <v>0.95</v>
      </c>
      <c r="W15" s="2">
        <f>AVERAGE(C15:K15)</f>
        <v/>
      </c>
    </row>
    <row r="16"/>
    <row r="17">
      <c r="A17" t="inlineStr">
        <is>
          <t>Leverage (Beg Net Debt / Beg Assets)</t>
        </is>
      </c>
      <c r="B17" s="2" t="inlineStr">
        <is>
          <t>n/a</t>
        </is>
      </c>
      <c r="C17" s="2">
        <f>IFERROR(C26/C28,0)</f>
        <v/>
      </c>
      <c r="D17" s="2">
        <f>IFERROR(D26/D28,0)</f>
        <v/>
      </c>
      <c r="E17" s="2">
        <f>IFERROR(E26/E28,0)</f>
        <v/>
      </c>
      <c r="F17" s="2">
        <f>IFERROR(F26/F28,0)</f>
        <v/>
      </c>
      <c r="G17" s="2">
        <f>IFERROR(G26/G28,0)</f>
        <v/>
      </c>
      <c r="H17" s="2">
        <f>IFERROR(H26/H28,0)</f>
        <v/>
      </c>
      <c r="I17" s="2">
        <f>IFERROR(I26/I28,0)</f>
        <v/>
      </c>
      <c r="J17" s="2">
        <f>IFERROR(J26/J28,0)</f>
        <v/>
      </c>
      <c r="K17" s="2">
        <f>IFERROR(K26/K28,0)</f>
        <v/>
      </c>
      <c r="L17" s="30">
        <f>IFERROR(L26/L28,0)</f>
        <v/>
      </c>
      <c r="M17" s="30">
        <f>L17</f>
        <v/>
      </c>
      <c r="N17" s="30">
        <f>M17</f>
        <v/>
      </c>
      <c r="O17" s="30">
        <f>N17</f>
        <v/>
      </c>
      <c r="P17" s="30">
        <f>O17</f>
        <v/>
      </c>
      <c r="Q17" s="30">
        <f>P17</f>
        <v/>
      </c>
      <c r="R17" s="30">
        <f>Q17</f>
        <v/>
      </c>
      <c r="S17" s="30">
        <f>R17</f>
        <v/>
      </c>
      <c r="T17" s="30">
        <f>S17</f>
        <v/>
      </c>
      <c r="U17" s="30">
        <f>T17</f>
        <v/>
      </c>
    </row>
    <row r="18"/>
    <row r="19">
      <c r="A19" s="8" t="inlineStr">
        <is>
          <t>BALANCE SHEET (Beginning)</t>
        </is>
      </c>
    </row>
    <row r="20">
      <c r="A20" t="inlineStr">
        <is>
          <t>Operating Assets (Beginning)</t>
        </is>
      </c>
    </row>
    <row r="21">
      <c r="A21" t="inlineStr">
        <is>
          <t>Net operating working capital</t>
        </is>
      </c>
      <c r="B21" s="4">
        <f>'Condensed Financials'!B27</f>
        <v/>
      </c>
      <c r="C21" s="4">
        <f>'Condensed Financials'!C27</f>
        <v/>
      </c>
      <c r="D21" s="4">
        <f>'Condensed Financials'!D27</f>
        <v/>
      </c>
      <c r="E21" s="4">
        <f>'Condensed Financials'!E27</f>
        <v/>
      </c>
      <c r="F21" s="4">
        <f>'Condensed Financials'!F27</f>
        <v/>
      </c>
      <c r="G21" s="4">
        <f>'Condensed Financials'!G27</f>
        <v/>
      </c>
      <c r="H21" s="4">
        <f>'Condensed Financials'!H27</f>
        <v/>
      </c>
      <c r="I21" s="4">
        <f>'Condensed Financials'!I27</f>
        <v/>
      </c>
      <c r="J21" s="4">
        <f>'Condensed Financials'!J27</f>
        <v/>
      </c>
      <c r="K21" s="4">
        <f>'Condensed Financials'!K27</f>
        <v/>
      </c>
      <c r="L21" s="4">
        <f>'Condensed Financials'!K27</f>
        <v/>
      </c>
      <c r="M21" s="4">
        <f>M14*M$31</f>
        <v/>
      </c>
      <c r="N21" s="4">
        <f>N14*N$31</f>
        <v/>
      </c>
      <c r="O21" s="4">
        <f>O14*O$31</f>
        <v/>
      </c>
      <c r="P21" s="4">
        <f>P14*P$31</f>
        <v/>
      </c>
      <c r="Q21" s="4">
        <f>Q14*Q$31</f>
        <v/>
      </c>
      <c r="R21" s="4">
        <f>R14*R$31</f>
        <v/>
      </c>
      <c r="S21" s="4">
        <f>S14*S$31</f>
        <v/>
      </c>
      <c r="T21" s="4">
        <f>T14*T$31</f>
        <v/>
      </c>
      <c r="U21" s="4">
        <f>U14*U$31</f>
        <v/>
      </c>
    </row>
    <row r="22">
      <c r="A22" t="inlineStr">
        <is>
          <t>Net operating LT assets</t>
        </is>
      </c>
      <c r="B22" s="4">
        <f>'Condensed Financials'!B31</f>
        <v/>
      </c>
      <c r="C22" s="4">
        <f>'Condensed Financials'!C31</f>
        <v/>
      </c>
      <c r="D22" s="4">
        <f>'Condensed Financials'!D31</f>
        <v/>
      </c>
      <c r="E22" s="4">
        <f>'Condensed Financials'!E31</f>
        <v/>
      </c>
      <c r="F22" s="4">
        <f>'Condensed Financials'!F31</f>
        <v/>
      </c>
      <c r="G22" s="4">
        <f>'Condensed Financials'!G31</f>
        <v/>
      </c>
      <c r="H22" s="4">
        <f>'Condensed Financials'!H31</f>
        <v/>
      </c>
      <c r="I22" s="4">
        <f>'Condensed Financials'!I31</f>
        <v/>
      </c>
      <c r="J22" s="4">
        <f>'Condensed Financials'!J31</f>
        <v/>
      </c>
      <c r="K22" s="4">
        <f>'Condensed Financials'!K31</f>
        <v/>
      </c>
      <c r="L22" s="4">
        <f>'Condensed Financials'!K31</f>
        <v/>
      </c>
      <c r="M22" s="4">
        <f>M15*M$31</f>
        <v/>
      </c>
      <c r="N22" s="4">
        <f>N15*N$31</f>
        <v/>
      </c>
      <c r="O22" s="4">
        <f>O15*O$31</f>
        <v/>
      </c>
      <c r="P22" s="4">
        <f>P15*P$31</f>
        <v/>
      </c>
      <c r="Q22" s="4">
        <f>Q15*Q$31</f>
        <v/>
      </c>
      <c r="R22" s="4">
        <f>R15*R$31</f>
        <v/>
      </c>
      <c r="S22" s="4">
        <f>S15*S$31</f>
        <v/>
      </c>
      <c r="T22" s="4">
        <f>T15*T$31</f>
        <v/>
      </c>
      <c r="U22" s="4">
        <f>U15*U$31</f>
        <v/>
      </c>
    </row>
    <row r="23">
      <c r="A23" s="8" t="inlineStr">
        <is>
          <t>Total operating net assets</t>
        </is>
      </c>
      <c r="B23" s="4">
        <f>B21+B22</f>
        <v/>
      </c>
      <c r="C23" s="4">
        <f>C21+C22</f>
        <v/>
      </c>
      <c r="D23" s="4">
        <f>D21+D22</f>
        <v/>
      </c>
      <c r="E23" s="4">
        <f>E21+E22</f>
        <v/>
      </c>
      <c r="F23" s="4">
        <f>F21+F22</f>
        <v/>
      </c>
      <c r="G23" s="4">
        <f>G21+G22</f>
        <v/>
      </c>
      <c r="H23" s="4">
        <f>H21+H22</f>
        <v/>
      </c>
      <c r="I23" s="4">
        <f>I21+I22</f>
        <v/>
      </c>
      <c r="J23" s="4">
        <f>J21+J22</f>
        <v/>
      </c>
      <c r="K23" s="4">
        <f>K21+K22</f>
        <v/>
      </c>
      <c r="L23" s="4">
        <f>L21+L22</f>
        <v/>
      </c>
      <c r="M23" s="4">
        <f>M21+M22</f>
        <v/>
      </c>
      <c r="N23" s="4">
        <f>N21+N22</f>
        <v/>
      </c>
      <c r="O23" s="4">
        <f>O21+O22</f>
        <v/>
      </c>
      <c r="P23" s="4">
        <f>P21+P22</f>
        <v/>
      </c>
      <c r="Q23" s="4">
        <f>Q21+Q22</f>
        <v/>
      </c>
      <c r="R23" s="4">
        <f>R21+R22</f>
        <v/>
      </c>
      <c r="S23" s="4">
        <f>S21+S22</f>
        <v/>
      </c>
      <c r="T23" s="4">
        <f>T21+T22</f>
        <v/>
      </c>
      <c r="U23" s="4">
        <f>U21+U22</f>
        <v/>
      </c>
    </row>
    <row r="24"/>
    <row r="25">
      <c r="A25" t="inlineStr">
        <is>
          <t>Capital (Beginning)</t>
        </is>
      </c>
    </row>
    <row r="26">
      <c r="A26" t="inlineStr">
        <is>
          <t>Net debt</t>
        </is>
      </c>
      <c r="B26" s="4">
        <f>'Condensed Financials'!B37</f>
        <v/>
      </c>
      <c r="C26" s="4">
        <f>'Condensed Financials'!C37</f>
        <v/>
      </c>
      <c r="D26" s="4">
        <f>'Condensed Financials'!D37</f>
        <v/>
      </c>
      <c r="E26" s="4">
        <f>'Condensed Financials'!E37</f>
        <v/>
      </c>
      <c r="F26" s="4">
        <f>'Condensed Financials'!F37</f>
        <v/>
      </c>
      <c r="G26" s="4">
        <f>'Condensed Financials'!G37</f>
        <v/>
      </c>
      <c r="H26" s="4">
        <f>'Condensed Financials'!H37</f>
        <v/>
      </c>
      <c r="I26" s="4">
        <f>'Condensed Financials'!I37</f>
        <v/>
      </c>
      <c r="J26" s="4">
        <f>'Condensed Financials'!J37</f>
        <v/>
      </c>
      <c r="K26" s="4">
        <f>'Condensed Financials'!K37</f>
        <v/>
      </c>
      <c r="L26" s="4">
        <f>'Condensed Financials'!K37</f>
        <v/>
      </c>
      <c r="M26" s="4">
        <f>M17*M23</f>
        <v/>
      </c>
      <c r="N26" s="4">
        <f>N17*N23</f>
        <v/>
      </c>
      <c r="O26" s="4">
        <f>O17*O23</f>
        <v/>
      </c>
      <c r="P26" s="4">
        <f>P17*P23</f>
        <v/>
      </c>
      <c r="Q26" s="4">
        <f>Q17*Q23</f>
        <v/>
      </c>
      <c r="R26" s="4">
        <f>R17*R23</f>
        <v/>
      </c>
      <c r="S26" s="4">
        <f>S17*S23</f>
        <v/>
      </c>
      <c r="T26" s="4">
        <f>T17*T23</f>
        <v/>
      </c>
      <c r="U26" s="4">
        <f>U17*U23</f>
        <v/>
      </c>
    </row>
    <row r="27">
      <c r="A27" t="inlineStr">
        <is>
          <t>Common equity</t>
        </is>
      </c>
      <c r="B27" s="4">
        <f>'Condensed Financials'!B40</f>
        <v/>
      </c>
      <c r="C27" s="4">
        <f>'Condensed Financials'!C40</f>
        <v/>
      </c>
      <c r="D27" s="4">
        <f>'Condensed Financials'!D40</f>
        <v/>
      </c>
      <c r="E27" s="4">
        <f>'Condensed Financials'!E40</f>
        <v/>
      </c>
      <c r="F27" s="4">
        <f>'Condensed Financials'!F40</f>
        <v/>
      </c>
      <c r="G27" s="4">
        <f>'Condensed Financials'!G40</f>
        <v/>
      </c>
      <c r="H27" s="4">
        <f>'Condensed Financials'!H40</f>
        <v/>
      </c>
      <c r="I27" s="4">
        <f>'Condensed Financials'!I40</f>
        <v/>
      </c>
      <c r="J27" s="4">
        <f>'Condensed Financials'!J40</f>
        <v/>
      </c>
      <c r="K27" s="4">
        <f>'Condensed Financials'!K40</f>
        <v/>
      </c>
      <c r="L27" s="4">
        <f>'Condensed Financials'!K40</f>
        <v/>
      </c>
      <c r="M27" s="4">
        <f>M23-M26</f>
        <v/>
      </c>
      <c r="N27" s="4">
        <f>N23-N26</f>
        <v/>
      </c>
      <c r="O27" s="4">
        <f>O23-O26</f>
        <v/>
      </c>
      <c r="P27" s="4">
        <f>P23-P26</f>
        <v/>
      </c>
      <c r="Q27" s="4">
        <f>Q23-Q26</f>
        <v/>
      </c>
      <c r="R27" s="4">
        <f>R23-R26</f>
        <v/>
      </c>
      <c r="S27" s="4">
        <f>S23-S26</f>
        <v/>
      </c>
      <c r="T27" s="4">
        <f>T23-T26</f>
        <v/>
      </c>
      <c r="U27" s="4">
        <f>U23-U26</f>
        <v/>
      </c>
    </row>
    <row r="28">
      <c r="A28" s="8" t="inlineStr">
        <is>
          <t>Total Capital</t>
        </is>
      </c>
      <c r="B28" s="4">
        <f>B26+B27</f>
        <v/>
      </c>
      <c r="C28" s="4">
        <f>C26+C27</f>
        <v/>
      </c>
      <c r="D28" s="4">
        <f>D26+D27</f>
        <v/>
      </c>
      <c r="E28" s="4">
        <f>E26+E27</f>
        <v/>
      </c>
      <c r="F28" s="4">
        <f>F26+F27</f>
        <v/>
      </c>
      <c r="G28" s="4">
        <f>G26+G27</f>
        <v/>
      </c>
      <c r="H28" s="4">
        <f>H26+H27</f>
        <v/>
      </c>
      <c r="I28" s="4">
        <f>I26+I27</f>
        <v/>
      </c>
      <c r="J28" s="4">
        <f>J26+J27</f>
        <v/>
      </c>
      <c r="K28" s="4">
        <f>K26+K27</f>
        <v/>
      </c>
      <c r="L28" s="4">
        <f>L26+L27</f>
        <v/>
      </c>
      <c r="M28" s="4">
        <f>M26+M27</f>
        <v/>
      </c>
      <c r="N28" s="4">
        <f>N26+N27</f>
        <v/>
      </c>
      <c r="O28" s="4">
        <f>O26+O27</f>
        <v/>
      </c>
      <c r="P28" s="4">
        <f>P26+P27</f>
        <v/>
      </c>
      <c r="Q28" s="4">
        <f>Q26+Q27</f>
        <v/>
      </c>
      <c r="R28" s="4">
        <f>R26+R27</f>
        <v/>
      </c>
      <c r="S28" s="4">
        <f>S26+S27</f>
        <v/>
      </c>
      <c r="T28" s="4">
        <f>T26+T27</f>
        <v/>
      </c>
      <c r="U28" s="4">
        <f>U26+U27</f>
        <v/>
      </c>
    </row>
    <row r="29"/>
    <row r="30">
      <c r="A30" s="8" t="inlineStr">
        <is>
          <t>INCOME STATEMENT</t>
        </is>
      </c>
    </row>
    <row r="31">
      <c r="A31" t="inlineStr">
        <is>
          <t>Sales</t>
        </is>
      </c>
      <c r="B31" s="4">
        <f>'Income Statement'!B7</f>
        <v/>
      </c>
      <c r="C31" s="4">
        <f>'Income Statement'!C7</f>
        <v/>
      </c>
      <c r="D31" s="4">
        <f>'Income Statement'!D7</f>
        <v/>
      </c>
      <c r="E31" s="4">
        <f>'Income Statement'!E7</f>
        <v/>
      </c>
      <c r="F31" s="4">
        <f>'Income Statement'!F7</f>
        <v/>
      </c>
      <c r="G31" s="4">
        <f>'Income Statement'!G7</f>
        <v/>
      </c>
      <c r="H31" s="4">
        <f>'Income Statement'!H7</f>
        <v/>
      </c>
      <c r="I31" s="4">
        <f>'Income Statement'!I7</f>
        <v/>
      </c>
      <c r="J31" s="4">
        <f>'Income Statement'!J7</f>
        <v/>
      </c>
      <c r="K31" s="4">
        <f>'Income Statement'!K7</f>
        <v/>
      </c>
      <c r="L31" s="4">
        <f>K31*(1+L11)</f>
        <v/>
      </c>
      <c r="M31" s="4">
        <f>L31*(1+M11)</f>
        <v/>
      </c>
      <c r="N31" s="4">
        <f>M31*(1+N11)</f>
        <v/>
      </c>
      <c r="O31" s="4">
        <f>N31*(1+O11)</f>
        <v/>
      </c>
      <c r="P31" s="4">
        <f>O31*(1+P11)</f>
        <v/>
      </c>
      <c r="Q31" s="4">
        <f>P31*(1+Q11)</f>
        <v/>
      </c>
      <c r="R31" s="4">
        <f>Q31*(1+R11)</f>
        <v/>
      </c>
      <c r="S31" s="4">
        <f>R31*(1+S11)</f>
        <v/>
      </c>
      <c r="T31" s="4">
        <f>S31*(1+T11)</f>
        <v/>
      </c>
      <c r="U31" s="4">
        <f>T31*(1+U11)</f>
        <v/>
      </c>
    </row>
    <row r="32">
      <c r="A32" t="inlineStr">
        <is>
          <t>NOPAT</t>
        </is>
      </c>
      <c r="B32" s="4">
        <f>'Condensed Financials'!B17</f>
        <v/>
      </c>
      <c r="C32" s="4">
        <f>'Condensed Financials'!C17</f>
        <v/>
      </c>
      <c r="D32" s="4">
        <f>'Condensed Financials'!D17</f>
        <v/>
      </c>
      <c r="E32" s="4">
        <f>'Condensed Financials'!E17</f>
        <v/>
      </c>
      <c r="F32" s="4">
        <f>'Condensed Financials'!F17</f>
        <v/>
      </c>
      <c r="G32" s="4">
        <f>'Condensed Financials'!G17</f>
        <v/>
      </c>
      <c r="H32" s="4">
        <f>'Condensed Financials'!H17</f>
        <v/>
      </c>
      <c r="I32" s="4">
        <f>'Condensed Financials'!I17</f>
        <v/>
      </c>
      <c r="J32" s="4">
        <f>'Condensed Financials'!J17</f>
        <v/>
      </c>
      <c r="K32" s="4">
        <f>'Condensed Financials'!K17</f>
        <v/>
      </c>
      <c r="L32" s="4">
        <f>L31*L12</f>
        <v/>
      </c>
      <c r="M32" s="4">
        <f>M31*M12</f>
        <v/>
      </c>
      <c r="N32" s="4">
        <f>N31*N12</f>
        <v/>
      </c>
      <c r="O32" s="4">
        <f>O31*O12</f>
        <v/>
      </c>
      <c r="P32" s="4">
        <f>P31*P12</f>
        <v/>
      </c>
      <c r="Q32" s="4">
        <f>Q31*Q12</f>
        <v/>
      </c>
      <c r="R32" s="4">
        <f>R31*R12</f>
        <v/>
      </c>
      <c r="S32" s="4">
        <f>S31*S12</f>
        <v/>
      </c>
      <c r="T32" s="4">
        <f>T31*T12</f>
        <v/>
      </c>
      <c r="U32" s="4">
        <f>U31*U12</f>
        <v/>
      </c>
    </row>
    <row r="33">
      <c r="A33" t="inlineStr">
        <is>
          <t>After tax interest expense (income)</t>
        </is>
      </c>
      <c r="B33" s="4">
        <f>'Condensed Financials'!B16</f>
        <v/>
      </c>
      <c r="C33" s="4">
        <f>'Condensed Financials'!C16</f>
        <v/>
      </c>
      <c r="D33" s="4">
        <f>'Condensed Financials'!D16</f>
        <v/>
      </c>
      <c r="E33" s="4">
        <f>'Condensed Financials'!E16</f>
        <v/>
      </c>
      <c r="F33" s="4">
        <f>'Condensed Financials'!F16</f>
        <v/>
      </c>
      <c r="G33" s="4">
        <f>'Condensed Financials'!G16</f>
        <v/>
      </c>
      <c r="H33" s="4">
        <f>'Condensed Financials'!H16</f>
        <v/>
      </c>
      <c r="I33" s="4">
        <f>'Condensed Financials'!I16</f>
        <v/>
      </c>
      <c r="J33" s="4">
        <f>'Condensed Financials'!J16</f>
        <v/>
      </c>
      <c r="K33" s="4">
        <f>'Condensed Financials'!K16</f>
        <v/>
      </c>
      <c r="L33" s="4">
        <f>L26*$B$8</f>
        <v/>
      </c>
      <c r="M33" s="4">
        <f>M26*$B$8</f>
        <v/>
      </c>
      <c r="N33" s="4">
        <f>N26*$B$8</f>
        <v/>
      </c>
      <c r="O33" s="4">
        <f>O26*$B$8</f>
        <v/>
      </c>
      <c r="P33" s="4">
        <f>P26*$B$8</f>
        <v/>
      </c>
      <c r="Q33" s="4">
        <f>Q26*$B$8</f>
        <v/>
      </c>
      <c r="R33" s="4">
        <f>R26*$B$8</f>
        <v/>
      </c>
      <c r="S33" s="4">
        <f>S26*$B$8</f>
        <v/>
      </c>
      <c r="T33" s="4">
        <f>T26*$B$8</f>
        <v/>
      </c>
      <c r="U33" s="4">
        <f>U26*$B$8</f>
        <v/>
      </c>
    </row>
    <row r="34">
      <c r="A34" s="8" t="inlineStr">
        <is>
          <t>Net Income</t>
        </is>
      </c>
      <c r="B34" s="4">
        <f>B32-B33</f>
        <v/>
      </c>
      <c r="C34" s="4">
        <f>C32-C33</f>
        <v/>
      </c>
      <c r="D34" s="4">
        <f>D32-D33</f>
        <v/>
      </c>
      <c r="E34" s="4">
        <f>E32-E33</f>
        <v/>
      </c>
      <c r="F34" s="4">
        <f>F32-F33</f>
        <v/>
      </c>
      <c r="G34" s="4">
        <f>G32-G33</f>
        <v/>
      </c>
      <c r="H34" s="4">
        <f>H32-H33</f>
        <v/>
      </c>
      <c r="I34" s="4">
        <f>I32-I33</f>
        <v/>
      </c>
      <c r="J34" s="4">
        <f>J32-J33</f>
        <v/>
      </c>
      <c r="K34" s="4">
        <f>K32-K33</f>
        <v/>
      </c>
      <c r="L34" s="4">
        <f>L32-L33</f>
        <v/>
      </c>
      <c r="M34" s="4">
        <f>M32-M33</f>
        <v/>
      </c>
      <c r="N34" s="4">
        <f>N32-N33</f>
        <v/>
      </c>
      <c r="O34" s="4">
        <f>O32-O33</f>
        <v/>
      </c>
      <c r="P34" s="4">
        <f>P32-P33</f>
        <v/>
      </c>
      <c r="Q34" s="4">
        <f>Q32-Q33</f>
        <v/>
      </c>
      <c r="R34" s="4">
        <f>R32-R33</f>
        <v/>
      </c>
      <c r="S34" s="4">
        <f>S32-S33</f>
        <v/>
      </c>
      <c r="T34" s="4">
        <f>T32-T33</f>
        <v/>
      </c>
      <c r="U34" s="4">
        <f>U32-U33</f>
        <v/>
      </c>
    </row>
    <row r="35"/>
    <row r="36">
      <c r="A36" s="8" t="inlineStr">
        <is>
          <t>Return on (Beg) Equity</t>
        </is>
      </c>
      <c r="B36" s="32" t="inlineStr">
        <is>
          <t>n/a</t>
        </is>
      </c>
      <c r="C36" s="32">
        <f>IFERROR(C34/C27,0)</f>
        <v/>
      </c>
      <c r="D36" s="32">
        <f>IFERROR(D34/D27,0)</f>
        <v/>
      </c>
      <c r="E36" s="32">
        <f>IFERROR(E34/E27,0)</f>
        <v/>
      </c>
      <c r="F36" s="32">
        <f>IFERROR(F34/F27,0)</f>
        <v/>
      </c>
      <c r="G36" s="32">
        <f>IFERROR(G34/G27,0)</f>
        <v/>
      </c>
      <c r="H36" s="32">
        <f>IFERROR(H34/H27,0)</f>
        <v/>
      </c>
      <c r="I36" s="32">
        <f>IFERROR(I34/I27,0)</f>
        <v/>
      </c>
      <c r="J36" s="32">
        <f>IFERROR(J34/J27,0)</f>
        <v/>
      </c>
      <c r="K36" s="32">
        <f>IFERROR(K34/K27,0)</f>
        <v/>
      </c>
      <c r="L36" s="32">
        <f>IFERROR(L34/L27,0)</f>
        <v/>
      </c>
      <c r="M36" s="32">
        <f>IFERROR(M34/M27,0)</f>
        <v/>
      </c>
      <c r="N36" s="32">
        <f>IFERROR(N34/N27,0)</f>
        <v/>
      </c>
      <c r="O36" s="32">
        <f>IFERROR(O34/O27,0)</f>
        <v/>
      </c>
      <c r="P36" s="32">
        <f>IFERROR(P34/P27,0)</f>
        <v/>
      </c>
      <c r="Q36" s="32">
        <f>IFERROR(Q34/Q27,0)</f>
        <v/>
      </c>
      <c r="R36" s="32">
        <f>IFERROR(R34/R27,0)</f>
        <v/>
      </c>
      <c r="S36" s="32">
        <f>IFERROR(S34/S27,0)</f>
        <v/>
      </c>
      <c r="T36" s="32">
        <f>IFERROR(T34/T27,0)</f>
        <v/>
      </c>
      <c r="U36" s="32">
        <f>IFERROR(U34/U27,0)</f>
        <v/>
      </c>
      <c r="W36" s="1">
        <f>AVERAGE(C36:K36)</f>
        <v/>
      </c>
    </row>
    <row r="37">
      <c r="A37" s="8" t="inlineStr">
        <is>
          <t>Return on (Beg) NOA</t>
        </is>
      </c>
      <c r="B37" s="32" t="inlineStr">
        <is>
          <t>n/a</t>
        </is>
      </c>
      <c r="C37" s="32">
        <f>IFERROR(C32/C23,0)</f>
        <v/>
      </c>
      <c r="D37" s="32">
        <f>IFERROR(D32/D23,0)</f>
        <v/>
      </c>
      <c r="E37" s="32">
        <f>IFERROR(E32/E23,0)</f>
        <v/>
      </c>
      <c r="F37" s="32">
        <f>IFERROR(F32/F23,0)</f>
        <v/>
      </c>
      <c r="G37" s="32">
        <f>IFERROR(G32/G23,0)</f>
        <v/>
      </c>
      <c r="H37" s="32">
        <f>IFERROR(H32/H23,0)</f>
        <v/>
      </c>
      <c r="I37" s="32">
        <f>IFERROR(I32/I23,0)</f>
        <v/>
      </c>
      <c r="J37" s="32">
        <f>IFERROR(J32/J23,0)</f>
        <v/>
      </c>
      <c r="K37" s="32">
        <f>IFERROR(K32/K23,0)</f>
        <v/>
      </c>
      <c r="L37" s="32">
        <f>IFERROR(L32/L23,0)</f>
        <v/>
      </c>
      <c r="M37" s="32">
        <f>IFERROR(M32/M23,0)</f>
        <v/>
      </c>
      <c r="N37" s="32">
        <f>IFERROR(N32/N23,0)</f>
        <v/>
      </c>
      <c r="O37" s="32">
        <f>IFERROR(O32/O23,0)</f>
        <v/>
      </c>
      <c r="P37" s="32">
        <f>IFERROR(P32/P23,0)</f>
        <v/>
      </c>
      <c r="Q37" s="32">
        <f>IFERROR(Q32/Q23,0)</f>
        <v/>
      </c>
      <c r="R37" s="32">
        <f>IFERROR(R32/R23,0)</f>
        <v/>
      </c>
      <c r="S37" s="32">
        <f>IFERROR(S32/S23,0)</f>
        <v/>
      </c>
      <c r="T37" s="32">
        <f>IFERROR(T32/T23,0)</f>
        <v/>
      </c>
      <c r="U37" s="32">
        <f>IFERROR(U32/U23,0)</f>
        <v/>
      </c>
      <c r="W37" s="1">
        <f>AVERAGE(C37:K37)</f>
        <v/>
      </c>
    </row>
    <row r="38"/>
    <row r="39">
      <c r="A39" s="8" t="inlineStr">
        <is>
          <t>ABNORMAL EARNINGS &amp; VALUATION</t>
        </is>
      </c>
    </row>
    <row r="40">
      <c r="A40" t="inlineStr">
        <is>
          <t>Net Income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>
        <f>L34</f>
        <v/>
      </c>
      <c r="M40" s="4">
        <f>M34</f>
        <v/>
      </c>
      <c r="N40" s="4">
        <f>N34</f>
        <v/>
      </c>
      <c r="O40" s="4">
        <f>O34</f>
        <v/>
      </c>
      <c r="P40" s="4">
        <f>P34</f>
        <v/>
      </c>
      <c r="Q40" s="4">
        <f>Q34</f>
        <v/>
      </c>
      <c r="R40" s="4">
        <f>R34</f>
        <v/>
      </c>
      <c r="S40" s="4">
        <f>S34</f>
        <v/>
      </c>
      <c r="T40" s="4">
        <f>T34</f>
        <v/>
      </c>
      <c r="U40" s="4">
        <f>U34</f>
        <v/>
      </c>
    </row>
    <row r="41">
      <c r="A41" t="inlineStr">
        <is>
          <t>Capital charge (Beg Eq × Ke)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>
        <f>L27*$B$5</f>
        <v/>
      </c>
      <c r="M41" s="4">
        <f>M27*$B$5</f>
        <v/>
      </c>
      <c r="N41" s="4">
        <f>N27*$B$5</f>
        <v/>
      </c>
      <c r="O41" s="4">
        <f>O27*$B$5</f>
        <v/>
      </c>
      <c r="P41" s="4">
        <f>P27*$B$5</f>
        <v/>
      </c>
      <c r="Q41" s="4">
        <f>Q27*$B$5</f>
        <v/>
      </c>
      <c r="R41" s="4">
        <f>R27*$B$5</f>
        <v/>
      </c>
      <c r="S41" s="4">
        <f>S27*$B$5</f>
        <v/>
      </c>
      <c r="T41" s="4">
        <f>T27*$B$5</f>
        <v/>
      </c>
      <c r="U41" s="4">
        <f>U27*$B$5</f>
        <v/>
      </c>
    </row>
    <row r="42">
      <c r="A42" s="8" t="inlineStr">
        <is>
          <t>Abnormal earnings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20">
        <f>L40-L41</f>
        <v/>
      </c>
      <c r="M42" s="20">
        <f>M40-M41</f>
        <v/>
      </c>
      <c r="N42" s="20">
        <f>N40-N41</f>
        <v/>
      </c>
      <c r="O42" s="20">
        <f>O40-O41</f>
        <v/>
      </c>
      <c r="P42" s="20">
        <f>P40-P41</f>
        <v/>
      </c>
      <c r="Q42" s="20">
        <f>Q40-Q41</f>
        <v/>
      </c>
      <c r="R42" s="20">
        <f>R40-R41</f>
        <v/>
      </c>
      <c r="S42" s="20">
        <f>S40-S41</f>
        <v/>
      </c>
      <c r="T42" s="20">
        <f>T40-T41</f>
        <v/>
      </c>
      <c r="U42" s="20">
        <f>U40-U41</f>
        <v/>
      </c>
    </row>
    <row r="43">
      <c r="A43" t="inlineStr">
        <is>
          <t>Free Cash Flow to Equity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20">
        <f>L40+(K27-L27)</f>
        <v/>
      </c>
      <c r="M43" s="20">
        <f>M40+(L27-M27)</f>
        <v/>
      </c>
      <c r="N43" s="20">
        <f>N40+(M27-N27)</f>
        <v/>
      </c>
      <c r="O43" s="20">
        <f>O40+(N27-O27)</f>
        <v/>
      </c>
      <c r="P43" s="20">
        <f>P40+(O27-P27)</f>
        <v/>
      </c>
      <c r="Q43" s="20">
        <f>Q40+(P27-Q27)</f>
        <v/>
      </c>
      <c r="R43" s="20">
        <f>R40+(Q27-R27)</f>
        <v/>
      </c>
      <c r="S43" s="20">
        <f>S40+(R27-S27)</f>
        <v/>
      </c>
      <c r="T43" s="20">
        <f>T40+(S27-T27)</f>
        <v/>
      </c>
      <c r="U43" s="20">
        <f>U40+(T27-U27)</f>
        <v/>
      </c>
    </row>
    <row r="44">
      <c r="A44" t="inlineStr">
        <is>
          <t>PV Factor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>
        <f>1/(1+$B$5)</f>
        <v/>
      </c>
      <c r="M44" s="2">
        <f>L44/(1+$B$5)</f>
        <v/>
      </c>
      <c r="N44" s="2">
        <f>M44/(1+$B$5)</f>
        <v/>
      </c>
      <c r="O44" s="2">
        <f>N44/(1+$B$5)</f>
        <v/>
      </c>
      <c r="P44" s="2">
        <f>O44/(1+$B$5)</f>
        <v/>
      </c>
      <c r="Q44" s="2">
        <f>P44/(1+$B$5)</f>
        <v/>
      </c>
      <c r="R44" s="2">
        <f>Q44/(1+$B$5)</f>
        <v/>
      </c>
      <c r="S44" s="2">
        <f>R44/(1+$B$5)</f>
        <v/>
      </c>
      <c r="T44" s="2">
        <f>S44/(1+$B$5)</f>
        <v/>
      </c>
      <c r="U44" s="2">
        <f>T44/(1+$B$5)</f>
        <v/>
      </c>
    </row>
    <row r="45">
      <c r="A45" t="inlineStr">
        <is>
          <t>PV of abnormal earnings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>
        <f>L42*L44</f>
        <v/>
      </c>
      <c r="M45" s="4">
        <f>M42*M44</f>
        <v/>
      </c>
      <c r="N45" s="4">
        <f>N42*N44</f>
        <v/>
      </c>
      <c r="O45" s="4">
        <f>O42*O44</f>
        <v/>
      </c>
      <c r="P45" s="4">
        <f>P42*P44</f>
        <v/>
      </c>
      <c r="Q45" s="4">
        <f>Q42*Q44</f>
        <v/>
      </c>
      <c r="R45" s="4">
        <f>R42*R44</f>
        <v/>
      </c>
      <c r="S45" s="4">
        <f>S42*S44</f>
        <v/>
      </c>
      <c r="T45" s="4">
        <f>T42*T44</f>
        <v/>
      </c>
      <c r="U45" s="4">
        <f>U42*U44</f>
        <v/>
      </c>
    </row>
    <row r="46">
      <c r="A46" t="inlineStr">
        <is>
          <t>Sum of PV of abnormal earnings</t>
        </is>
      </c>
      <c r="L46" s="4">
        <f>SUM(L45:U45)</f>
        <v/>
      </c>
      <c r="U46" s="4">
        <f>U42*(1+$B$9)/($B$5-$B$9)</f>
        <v/>
      </c>
    </row>
    <row r="47">
      <c r="A47" t="inlineStr">
        <is>
          <t>Terminal value (PV)</t>
        </is>
      </c>
      <c r="L47" s="4">
        <f>U46*U44</f>
        <v/>
      </c>
    </row>
    <row r="48">
      <c r="A48" t="inlineStr">
        <is>
          <t>Book Value of Equity (anchor)</t>
        </is>
      </c>
      <c r="L48" s="4">
        <f>L27</f>
        <v/>
      </c>
    </row>
    <row r="49">
      <c r="A49" s="8" t="inlineStr">
        <is>
          <t>Intrinsic Value of Common Equity</t>
        </is>
      </c>
      <c r="L49" s="97">
        <f>L48+L47+L46</f>
        <v/>
      </c>
    </row>
    <row r="50">
      <c r="A50" t="inlineStr">
        <is>
          <t>Number of shares (diluted, M)</t>
        </is>
      </c>
      <c r="L50" s="16" t="n">
        <v>12230</v>
      </c>
    </row>
    <row r="51">
      <c r="A51" s="8" t="inlineStr">
        <is>
          <t>Intrinsic value per share</t>
        </is>
      </c>
      <c r="L51" s="98">
        <f>L49/L50</f>
        <v/>
      </c>
    </row>
    <row r="52">
      <c r="A52" s="99" t="n"/>
      <c r="B52" s="99" t="n"/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</row>
    <row r="53">
      <c r="A53" s="96" t="inlineStr">
        <is>
          <t>ENTERPRISE DCF (FCFF / WACC) — cross-check of the equity (RIM) value</t>
        </is>
      </c>
      <c r="B53" s="99" t="n"/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</row>
    <row r="54">
      <c r="A54" s="100" t="inlineStr">
        <is>
          <t>FCFF = NOPAT − ΔNet Operating Assets; EV = PV(FCFF) at WACC; Equity = EV − net debt (market value). Should ≈ the equity (RIM) value above. A material gap ⇒ recheck the market value of net debt or the WACC. Net cash here ⇒ the debt weight is negative; an inherent ~1–2% residual exists from terminal/leverage conventions.</t>
        </is>
      </c>
      <c r="K54" s="99" t="n"/>
      <c r="L54" s="99" t="n"/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</row>
    <row r="55">
      <c r="A55" s="99" t="n"/>
      <c r="B55" s="99" t="n"/>
      <c r="C55" s="99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</row>
    <row r="56">
      <c r="A56" s="96" t="inlineStr">
        <is>
          <t>WACC INPUTS</t>
        </is>
      </c>
      <c r="B56" s="99" t="n"/>
      <c r="C56" s="99" t="n"/>
      <c r="D56" s="99" t="n"/>
      <c r="E56" s="99" t="n"/>
      <c r="F56" s="99" t="n"/>
      <c r="G56" s="99" t="n"/>
      <c r="H56" s="99" t="n"/>
      <c r="I56" s="99" t="n"/>
      <c r="J56" s="99" t="n"/>
      <c r="K56" s="99" t="n"/>
      <c r="L56" s="99" t="n"/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</row>
    <row r="57">
      <c r="A57" s="99" t="inlineStr">
        <is>
          <t>Cost of equity (Ke)</t>
        </is>
      </c>
      <c r="B57" s="101">
        <f>B5</f>
        <v/>
      </c>
      <c r="C57" s="99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9" t="n"/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</row>
    <row r="58">
      <c r="A58" s="99" t="inlineStr">
        <is>
          <t>After-tax cost of debt (Kd)</t>
        </is>
      </c>
      <c r="B58" s="101">
        <f>B8</f>
        <v/>
      </c>
      <c r="C58" s="99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</row>
    <row r="59">
      <c r="A59" s="99" t="inlineStr">
        <is>
          <t>Net debt — book ($M)</t>
        </is>
      </c>
      <c r="B59" s="102">
        <f>L26</f>
        <v/>
      </c>
      <c r="C59" s="99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</row>
    <row r="60">
      <c r="A60" s="99" t="inlineStr">
        <is>
          <t>Net debt — market value ($M) — INPUT (book proxy; override when MV pulled)</t>
        </is>
      </c>
      <c r="B60" s="103" t="n">
        <v>-50006</v>
      </c>
      <c r="C60" s="99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</row>
    <row r="61">
      <c r="A61" s="99" t="inlineStr">
        <is>
          <t>Market cap ($M) = price × shares</t>
        </is>
      </c>
      <c r="B61" s="102">
        <f>363.6*L50</f>
        <v/>
      </c>
      <c r="C61" s="99" t="n"/>
      <c r="D61" s="99" t="n"/>
      <c r="E61" s="99" t="n"/>
      <c r="F61" s="99" t="n"/>
      <c r="G61" s="99" t="n"/>
      <c r="H61" s="99" t="n"/>
      <c r="I61" s="9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</row>
    <row r="62">
      <c r="A62" s="99" t="inlineStr">
        <is>
          <t>Equity weight wE</t>
        </is>
      </c>
      <c r="B62" s="101">
        <f>B61/(B61+B60)</f>
        <v/>
      </c>
      <c r="C62" s="99" t="n"/>
      <c r="D62" s="99" t="n"/>
      <c r="E62" s="99" t="n"/>
      <c r="F62" s="99" t="n"/>
      <c r="G62" s="99" t="n"/>
      <c r="H62" s="9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</row>
    <row r="63">
      <c r="A63" s="99" t="inlineStr">
        <is>
          <t>Debt weight wD</t>
        </is>
      </c>
      <c r="B63" s="101">
        <f>B60/(B61+B60)</f>
        <v/>
      </c>
      <c r="C63" s="99" t="n"/>
      <c r="D63" s="99" t="n"/>
      <c r="E63" s="99" t="n"/>
      <c r="F63" s="99" t="n"/>
      <c r="G63" s="99" t="n"/>
      <c r="H63" s="99" t="n"/>
      <c r="I63" s="9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</row>
    <row r="64">
      <c r="A64" s="99" t="inlineStr">
        <is>
          <t>WACC</t>
        </is>
      </c>
      <c r="B64" s="101">
        <f>B62*B57+B63*B58</f>
        <v/>
      </c>
      <c r="C64" s="99" t="n"/>
      <c r="D64" s="99" t="n"/>
      <c r="E64" s="99" t="n"/>
      <c r="F64" s="99" t="n"/>
      <c r="G64" s="99" t="n"/>
      <c r="H64" s="99" t="n"/>
      <c r="I64" s="9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</row>
    <row r="65">
      <c r="A65" s="99" t="n"/>
      <c r="B65" s="99" t="n"/>
      <c r="C65" s="99" t="n"/>
      <c r="D65" s="99" t="n"/>
      <c r="E65" s="99" t="n"/>
      <c r="F65" s="99" t="n"/>
      <c r="G65" s="99" t="n"/>
      <c r="H65" s="99" t="n"/>
      <c r="I65" s="99" t="n"/>
      <c r="J65" s="99" t="n"/>
      <c r="K65" s="99" t="n"/>
      <c r="L65" s="99" t="n"/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</row>
    <row r="66">
      <c r="A66" s="99" t="inlineStr">
        <is>
          <t>FCFF = NOPAT − ΔNet Op Assets ($M)</t>
        </is>
      </c>
      <c r="B66" s="99" t="n"/>
      <c r="C66" s="99" t="n"/>
      <c r="D66" s="99" t="n"/>
      <c r="E66" s="99" t="n"/>
      <c r="F66" s="99" t="n"/>
      <c r="G66" s="99" t="n"/>
      <c r="H66" s="99" t="n"/>
      <c r="I66" s="99" t="n"/>
      <c r="J66" s="99" t="n"/>
      <c r="K66" s="99" t="n"/>
      <c r="L66" s="102">
        <f>L32-(M23-L23)</f>
        <v/>
      </c>
      <c r="M66" s="102">
        <f>M32-(N23-M23)</f>
        <v/>
      </c>
      <c r="N66" s="102">
        <f>N32-(O23-N23)</f>
        <v/>
      </c>
      <c r="O66" s="102">
        <f>O32-(P23-O23)</f>
        <v/>
      </c>
      <c r="P66" s="102">
        <f>P32-(Q23-P23)</f>
        <v/>
      </c>
      <c r="Q66" s="102">
        <f>Q32-(R23-Q23)</f>
        <v/>
      </c>
      <c r="R66" s="102">
        <f>R32-(S23-R23)</f>
        <v/>
      </c>
      <c r="S66" s="102">
        <f>S32-(T23-S23)</f>
        <v/>
      </c>
      <c r="T66" s="102">
        <f>T32-(U23-T23)</f>
        <v/>
      </c>
      <c r="U66" s="102">
        <f>U32-U23*B9</f>
        <v/>
      </c>
    </row>
    <row r="67">
      <c r="A67" s="99" t="inlineStr">
        <is>
          <t>PV factor @ WACC</t>
        </is>
      </c>
      <c r="B67" s="99" t="n"/>
      <c r="C67" s="99" t="n"/>
      <c r="D67" s="99" t="n"/>
      <c r="E67" s="99" t="n"/>
      <c r="F67" s="99" t="n"/>
      <c r="G67" s="99" t="n"/>
      <c r="H67" s="99" t="n"/>
      <c r="I67" s="99" t="n"/>
      <c r="J67" s="99" t="n"/>
      <c r="K67" s="99" t="n"/>
      <c r="L67" s="104">
        <f>1/(1+$B$64)^1</f>
        <v/>
      </c>
      <c r="M67" s="104">
        <f>1/(1+$B$64)^2</f>
        <v/>
      </c>
      <c r="N67" s="104">
        <f>1/(1+$B$64)^3</f>
        <v/>
      </c>
      <c r="O67" s="104">
        <f>1/(1+$B$64)^4</f>
        <v/>
      </c>
      <c r="P67" s="104">
        <f>1/(1+$B$64)^5</f>
        <v/>
      </c>
      <c r="Q67" s="104">
        <f>1/(1+$B$64)^6</f>
        <v/>
      </c>
      <c r="R67" s="104">
        <f>1/(1+$B$64)^7</f>
        <v/>
      </c>
      <c r="S67" s="104">
        <f>1/(1+$B$64)^8</f>
        <v/>
      </c>
      <c r="T67" s="104">
        <f>1/(1+$B$64)^9</f>
        <v/>
      </c>
      <c r="U67" s="104">
        <f>1/(1+$B$64)^10</f>
        <v/>
      </c>
    </row>
    <row r="68">
      <c r="A68" s="99" t="inlineStr">
        <is>
          <t>PV of FCFF ($M)</t>
        </is>
      </c>
      <c r="B68" s="99" t="n"/>
      <c r="C68" s="99" t="n"/>
      <c r="D68" s="99" t="n"/>
      <c r="E68" s="99" t="n"/>
      <c r="F68" s="99" t="n"/>
      <c r="G68" s="99" t="n"/>
      <c r="H68" s="99" t="n"/>
      <c r="I68" s="99" t="n"/>
      <c r="J68" s="99" t="n"/>
      <c r="K68" s="99" t="n"/>
      <c r="L68" s="102">
        <f>L66*L67</f>
        <v/>
      </c>
      <c r="M68" s="102">
        <f>M66*M67</f>
        <v/>
      </c>
      <c r="N68" s="102">
        <f>N66*N67</f>
        <v/>
      </c>
      <c r="O68" s="102">
        <f>O66*O67</f>
        <v/>
      </c>
      <c r="P68" s="102">
        <f>P66*P67</f>
        <v/>
      </c>
      <c r="Q68" s="102">
        <f>Q66*Q67</f>
        <v/>
      </c>
      <c r="R68" s="102">
        <f>R66*R67</f>
        <v/>
      </c>
      <c r="S68" s="102">
        <f>S66*S67</f>
        <v/>
      </c>
      <c r="T68" s="102">
        <f>T66*T67</f>
        <v/>
      </c>
      <c r="U68" s="102">
        <f>U66*U67</f>
        <v/>
      </c>
    </row>
    <row r="69">
      <c r="A69" s="99" t="n"/>
      <c r="B69" s="99" t="n"/>
      <c r="C69" s="99" t="n"/>
      <c r="D69" s="99" t="n"/>
      <c r="E69" s="99" t="n"/>
      <c r="F69" s="99" t="n"/>
      <c r="G69" s="99" t="n"/>
      <c r="H69" s="99" t="n"/>
      <c r="I69" s="99" t="n"/>
      <c r="J69" s="99" t="n"/>
      <c r="K69" s="99" t="n"/>
      <c r="L69" s="99" t="n"/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</row>
    <row r="70" ht="16" customHeight="1" s="92">
      <c r="A70" s="105" t="inlineStr">
        <is>
          <t>Σ PV of FCFF (explicit 10y)</t>
        </is>
      </c>
      <c r="B70" s="99" t="n"/>
      <c r="C70" s="99" t="n"/>
      <c r="D70" s="99" t="n"/>
      <c r="E70" s="99" t="n"/>
      <c r="F70" s="99" t="n"/>
      <c r="G70" s="99" t="n"/>
      <c r="H70" s="99" t="n"/>
      <c r="I70" s="99" t="n"/>
      <c r="J70" s="99" t="n"/>
      <c r="K70" s="99" t="n"/>
      <c r="L70" s="102">
        <f>SUM(L68:U68)</f>
        <v/>
      </c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</row>
    <row r="71">
      <c r="A71" s="99" t="inlineStr">
        <is>
          <t>Terminal value (PV)</t>
        </is>
      </c>
      <c r="B71" s="99" t="n"/>
      <c r="C71" s="99" t="n"/>
      <c r="D71" s="99" t="n"/>
      <c r="E71" s="99" t="n"/>
      <c r="F71" s="99" t="n"/>
      <c r="G71" s="99" t="n"/>
      <c r="H71" s="99" t="n"/>
      <c r="I71" s="99" t="n"/>
      <c r="J71" s="99" t="n"/>
      <c r="K71" s="99" t="n"/>
      <c r="L71" s="102">
        <f>U66*(1+B9)/($B$64-B9)*U67</f>
        <v/>
      </c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</row>
    <row r="72">
      <c r="A72" s="96" t="inlineStr">
        <is>
          <t>Enterprise value ($M)</t>
        </is>
      </c>
      <c r="B72" s="99" t="n"/>
      <c r="C72" s="99" t="n"/>
      <c r="D72" s="99" t="n"/>
      <c r="E72" s="99" t="n"/>
      <c r="F72" s="99" t="n"/>
      <c r="G72" s="99" t="n"/>
      <c r="H72" s="99" t="n"/>
      <c r="I72" s="99" t="n"/>
      <c r="J72" s="99" t="n"/>
      <c r="K72" s="99" t="n"/>
      <c r="L72" s="97">
        <f>L70+L71</f>
        <v/>
      </c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</row>
    <row r="73">
      <c r="A73" s="99" t="inlineStr">
        <is>
          <t>less: net debt (market value)</t>
        </is>
      </c>
      <c r="B73" s="99" t="n"/>
      <c r="C73" s="99" t="n"/>
      <c r="D73" s="99" t="n"/>
      <c r="E73" s="99" t="n"/>
      <c r="F73" s="99" t="n"/>
      <c r="G73" s="99" t="n"/>
      <c r="H73" s="99" t="n"/>
      <c r="I73" s="99" t="n"/>
      <c r="J73" s="99" t="n"/>
      <c r="K73" s="99" t="n"/>
      <c r="L73" s="102">
        <f>B60</f>
        <v/>
      </c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</row>
    <row r="74">
      <c r="A74" s="96" t="inlineStr">
        <is>
          <t>Equity value — DCF ($M)</t>
        </is>
      </c>
      <c r="B74" s="99" t="n"/>
      <c r="C74" s="99" t="n"/>
      <c r="D74" s="99" t="n"/>
      <c r="E74" s="99" t="n"/>
      <c r="F74" s="99" t="n"/>
      <c r="G74" s="99" t="n"/>
      <c r="H74" s="99" t="n"/>
      <c r="I74" s="99" t="n"/>
      <c r="J74" s="99" t="n"/>
      <c r="K74" s="99" t="n"/>
      <c r="L74" s="97">
        <f>L72-L73</f>
        <v/>
      </c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</row>
    <row r="75">
      <c r="A75" s="96" t="inlineStr">
        <is>
          <t>IVPS — enterprise DCF</t>
        </is>
      </c>
      <c r="B75" s="99" t="n"/>
      <c r="C75" s="99" t="n"/>
      <c r="D75" s="99" t="n"/>
      <c r="E75" s="99" t="n"/>
      <c r="F75" s="99" t="n"/>
      <c r="G75" s="99" t="n"/>
      <c r="H75" s="99" t="n"/>
      <c r="I75" s="99" t="n"/>
      <c r="J75" s="99" t="n"/>
      <c r="K75" s="99" t="n"/>
      <c r="L75" s="98">
        <f>L74/L50</f>
        <v/>
      </c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</row>
    <row r="76">
      <c r="A76" s="99" t="n"/>
      <c r="B76" s="99" t="n"/>
      <c r="C76" s="99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</row>
    <row r="77">
      <c r="A77" s="96" t="inlineStr">
        <is>
          <t>RECONCILIATION vs equity (RIM) value</t>
        </is>
      </c>
      <c r="B77" s="99" t="n"/>
      <c r="C77" s="99" t="n"/>
      <c r="D77" s="99" t="n"/>
      <c r="E77" s="99" t="n"/>
      <c r="F77" s="99" t="n"/>
      <c r="G77" s="99" t="n"/>
      <c r="H77" s="99" t="n"/>
      <c r="I77" s="99" t="n"/>
      <c r="J77" s="99" t="n"/>
      <c r="K77" s="99" t="n"/>
      <c r="L77" s="99" t="n"/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</row>
    <row r="78">
      <c r="A78" s="99" t="inlineStr">
        <is>
          <t>IVPS — equity method (RIM)</t>
        </is>
      </c>
      <c r="B78" s="99" t="n"/>
      <c r="C78" s="99" t="n"/>
      <c r="D78" s="99" t="n"/>
      <c r="E78" s="99" t="n"/>
      <c r="F78" s="99" t="n"/>
      <c r="G78" s="99" t="n"/>
      <c r="H78" s="99" t="n"/>
      <c r="I78" s="99" t="n"/>
      <c r="J78" s="99" t="n"/>
      <c r="K78" s="99" t="n"/>
      <c r="L78" s="106">
        <f>L51</f>
        <v/>
      </c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</row>
    <row r="79">
      <c r="A79" s="99" t="inlineStr">
        <is>
          <t>IVPS — enterprise DCF</t>
        </is>
      </c>
      <c r="B79" s="99" t="n"/>
      <c r="C79" s="99" t="n"/>
      <c r="D79" s="99" t="n"/>
      <c r="E79" s="99" t="n"/>
      <c r="F79" s="99" t="n"/>
      <c r="G79" s="99" t="n"/>
      <c r="H79" s="99" t="n"/>
      <c r="I79" s="99" t="n"/>
      <c r="J79" s="99" t="n"/>
      <c r="K79" s="99" t="n"/>
      <c r="L79" s="106">
        <f>L75</f>
        <v/>
      </c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</row>
    <row r="80">
      <c r="A80" s="96" t="inlineStr">
        <is>
          <t>Gap (DCF − RIM)</t>
        </is>
      </c>
      <c r="B80" s="99" t="n"/>
      <c r="C80" s="99" t="n"/>
      <c r="D80" s="99" t="n"/>
      <c r="E80" s="99" t="n"/>
      <c r="F80" s="99" t="n"/>
      <c r="G80" s="99" t="n"/>
      <c r="H80" s="99" t="n"/>
      <c r="I80" s="99" t="n"/>
      <c r="J80" s="99" t="n"/>
      <c r="K80" s="99" t="n"/>
      <c r="L80" s="107">
        <f>L75-L51</f>
        <v/>
      </c>
      <c r="M80" s="101">
        <f>(L75-L51)/L51</f>
        <v/>
      </c>
      <c r="N80" s="99" t="n"/>
      <c r="O80" s="99" t="n"/>
      <c r="P80" s="99" t="n"/>
      <c r="Q80" s="99" t="n"/>
      <c r="R80" s="99" t="n"/>
      <c r="S80" s="99" t="n"/>
      <c r="T80" s="99" t="n"/>
      <c r="U80" s="99" t="n"/>
    </row>
    <row r="81">
      <c r="A81" s="100" t="inlineStr">
        <is>
          <t>≈0 expected. Material gap ⇒ recheck net-debt market value (row above) or WACC. Inherent ~1–2% residual from terminal/leverage conventions.</t>
        </is>
      </c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</row>
    <row r="82">
      <c r="A82" s="99" t="n"/>
      <c r="B82" s="99" t="n"/>
      <c r="C82" s="99" t="n"/>
      <c r="D82" s="99" t="n"/>
      <c r="E82" s="99" t="n"/>
      <c r="F82" s="99" t="n"/>
      <c r="G82" s="99" t="n"/>
      <c r="H82" s="99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</row>
    <row r="83">
      <c r="A83" s="76" t="inlineStr">
        <is>
          <t>SCENARIO RATIONALE — BASE</t>
        </is>
      </c>
      <c r="B83" s="99" t="n"/>
      <c r="C83" s="99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</row>
    <row r="84">
      <c r="A84" s="99" t="inlineStr">
        <is>
          <t>ILLUSTRATIVE BASE — generic moderate-fade inputs for demonstration. Not analysis.</t>
        </is>
      </c>
      <c r="B84" s="99" t="n"/>
      <c r="C84" s="99" t="n"/>
      <c r="D84" s="99" t="n"/>
      <c r="E84" s="99" t="n"/>
      <c r="F84" s="99" t="n"/>
      <c r="G84" s="99" t="n"/>
      <c r="H84" s="99" t="n"/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</row>
    <row r="85">
      <c r="A85" s="76" t="n"/>
      <c r="B85" s="99" t="n"/>
      <c r="C85" s="99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</row>
    <row r="86">
      <c r="B86" s="99" t="n"/>
      <c r="C86" s="99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</row>
    <row r="87">
      <c r="A87" s="99" t="n"/>
      <c r="B87" s="99" t="n"/>
      <c r="C87" s="99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</row>
    <row r="88">
      <c r="A88" s="76" t="n"/>
      <c r="B88" s="99" t="n"/>
      <c r="C88" s="99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</row>
    <row r="89">
      <c r="B89" s="99" t="n"/>
      <c r="C89" s="99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</row>
    <row r="90">
      <c r="A90" s="99" t="n"/>
      <c r="B90" s="99" t="n"/>
      <c r="C90" s="99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</row>
    <row r="91">
      <c r="A91" s="76" t="n"/>
      <c r="B91" s="99" t="n"/>
      <c r="C91" s="99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9" t="n"/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</row>
    <row r="92">
      <c r="B92" s="99" t="n"/>
      <c r="C92" s="99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</row>
    <row r="93">
      <c r="A93" s="99" t="n"/>
      <c r="B93" s="99" t="n"/>
      <c r="C93" s="99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</row>
    <row r="94">
      <c r="A94" s="76" t="n"/>
      <c r="B94" s="99" t="n"/>
      <c r="C94" s="99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</row>
    <row r="95">
      <c r="B95" s="99" t="n"/>
      <c r="C95" s="99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</row>
    <row r="96">
      <c r="A96" s="74" t="n"/>
      <c r="B96" s="99" t="n"/>
      <c r="C96" s="99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</row>
    <row r="97">
      <c r="A97" s="105" t="n"/>
      <c r="B97" s="99" t="n"/>
      <c r="C97" s="99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</row>
  </sheetData>
  <mergeCells count="2">
    <mergeCell ref="A81:J81"/>
    <mergeCell ref="A54:J5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7"/>
  <sheetViews>
    <sheetView topLeftCell="A87" zoomScale="150" zoomScaleNormal="150" workbookViewId="0">
      <pane xSplit="1" topLeftCell="B1" activePane="topRight" state="frozen"/>
      <selection pane="topRight" activeCell="A96" sqref="A96"/>
    </sheetView>
  </sheetViews>
  <sheetFormatPr baseColWidth="10" defaultColWidth="8.83203125" defaultRowHeight="15"/>
  <cols>
    <col width="42" customWidth="1" style="92" min="1" max="1"/>
    <col width="14" customWidth="1" style="92" min="2" max="21"/>
  </cols>
  <sheetData>
    <row r="1">
      <c r="A1" s="8" t="inlineStr">
        <is>
          <t>MARKET DATA (Given) — BULL CASE</t>
        </is>
      </c>
    </row>
    <row r="2">
      <c r="A2" t="inlineStr">
        <is>
          <t>Beta</t>
        </is>
      </c>
      <c r="B2" s="26" t="n">
        <v>0.95</v>
      </c>
    </row>
    <row r="3">
      <c r="A3" t="inlineStr">
        <is>
          <t>Risk premium</t>
        </is>
      </c>
      <c r="B3" s="27" t="n">
        <v>0.05</v>
      </c>
    </row>
    <row r="4">
      <c r="A4" t="inlineStr">
        <is>
          <t>Risk free rate</t>
        </is>
      </c>
      <c r="B4" s="27" t="n">
        <v>0.042</v>
      </c>
    </row>
    <row r="5">
      <c r="A5" t="inlineStr">
        <is>
          <t>Cost of equity (Ke)</t>
        </is>
      </c>
      <c r="B5" s="25">
        <f>B4+B3*B2</f>
        <v/>
      </c>
    </row>
    <row r="6">
      <c r="A6" t="inlineStr">
        <is>
          <t>Tax Rate</t>
        </is>
      </c>
      <c r="B6" s="27" t="n">
        <v>0.17</v>
      </c>
    </row>
    <row r="7">
      <c r="A7" t="inlineStr">
        <is>
          <t>Pre-Tax Net Cost of Net Debt</t>
        </is>
      </c>
      <c r="B7" s="25">
        <f>B8/(1-B6)</f>
        <v/>
      </c>
    </row>
    <row r="8">
      <c r="A8" t="inlineStr">
        <is>
          <t>After-Tax Net Cost of Net Debt</t>
        </is>
      </c>
      <c r="B8" s="25">
        <f>AVERAGE('ALT DuPont'!H23:K23)</f>
        <v/>
      </c>
    </row>
    <row r="9">
      <c r="A9" s="74" t="inlineStr">
        <is>
          <t>Terminal growth (g)</t>
        </is>
      </c>
      <c r="B9" s="95">
        <f>U11</f>
        <v/>
      </c>
    </row>
    <row r="10">
      <c r="A10" s="8" t="inlineStr">
        <is>
          <t>Year</t>
        </is>
      </c>
      <c r="B10" s="28">
        <f>YEAR('Income Statement'!B6)</f>
        <v/>
      </c>
      <c r="C10" s="28">
        <f>YEAR('Income Statement'!C6)</f>
        <v/>
      </c>
      <c r="D10" s="28">
        <f>YEAR('Income Statement'!D6)</f>
        <v/>
      </c>
      <c r="E10" s="28">
        <f>YEAR('Income Statement'!E6)</f>
        <v/>
      </c>
      <c r="F10" s="28">
        <f>YEAR('Income Statement'!F6)</f>
        <v/>
      </c>
      <c r="G10" s="28">
        <f>YEAR('Income Statement'!G6)</f>
        <v/>
      </c>
      <c r="H10" s="28">
        <f>YEAR('Income Statement'!H6)</f>
        <v/>
      </c>
      <c r="I10" s="28">
        <f>YEAR('Income Statement'!I6)</f>
        <v/>
      </c>
      <c r="J10" s="28">
        <f>YEAR('Income Statement'!J6)</f>
        <v/>
      </c>
      <c r="K10" s="28">
        <f>YEAR('Income Statement'!K6)</f>
        <v/>
      </c>
      <c r="L10" s="28">
        <f>K10+1</f>
        <v/>
      </c>
      <c r="M10" s="28">
        <f>L10+1</f>
        <v/>
      </c>
      <c r="N10" s="28">
        <f>M10+1</f>
        <v/>
      </c>
      <c r="O10" s="28">
        <f>N10+1</f>
        <v/>
      </c>
      <c r="P10" s="28">
        <f>O10+1</f>
        <v/>
      </c>
      <c r="Q10" s="28">
        <f>P10+1</f>
        <v/>
      </c>
      <c r="R10" s="28">
        <f>Q10+1</f>
        <v/>
      </c>
      <c r="S10" s="28">
        <f>R10+1</f>
        <v/>
      </c>
      <c r="T10" s="28">
        <f>S10+1</f>
        <v/>
      </c>
      <c r="U10" s="28">
        <f>T10+1</f>
        <v/>
      </c>
      <c r="W10" s="96" t="inlineStr">
        <is>
          <t>Historical Average</t>
        </is>
      </c>
    </row>
    <row r="11">
      <c r="A11" t="inlineStr">
        <is>
          <t>Revenue Growth Assumption</t>
        </is>
      </c>
      <c r="B11" s="1" t="inlineStr">
        <is>
          <t>n/a</t>
        </is>
      </c>
      <c r="C11" s="1">
        <f>C31/B31-1</f>
        <v/>
      </c>
      <c r="D11" s="1">
        <f>D31/C31-1</f>
        <v/>
      </c>
      <c r="E11" s="1">
        <f>E31/D31-1</f>
        <v/>
      </c>
      <c r="F11" s="1">
        <f>F31/E31-1</f>
        <v/>
      </c>
      <c r="G11" s="1">
        <f>G31/F31-1</f>
        <v/>
      </c>
      <c r="H11" s="1">
        <f>H31/G31-1</f>
        <v/>
      </c>
      <c r="I11" s="1">
        <f>I31/H31-1</f>
        <v/>
      </c>
      <c r="J11" s="1">
        <f>J31/I31-1</f>
        <v/>
      </c>
      <c r="K11" s="1">
        <f>K31/J31-1</f>
        <v/>
      </c>
      <c r="L11" s="29" t="n">
        <v>0.2</v>
      </c>
      <c r="M11" s="29" t="n">
        <v>0.17</v>
      </c>
      <c r="N11" s="29" t="n">
        <v>0.14</v>
      </c>
      <c r="O11" s="29" t="n">
        <v>0.12</v>
      </c>
      <c r="P11" s="29" t="n">
        <v>0.1</v>
      </c>
      <c r="Q11" s="29" t="n">
        <v>0.08</v>
      </c>
      <c r="R11" s="29" t="n">
        <v>0.07000000000000001</v>
      </c>
      <c r="S11" s="29" t="n">
        <v>0.06</v>
      </c>
      <c r="T11" s="29" t="n">
        <v>0.05</v>
      </c>
      <c r="U11" s="29" t="n">
        <v>0.04</v>
      </c>
      <c r="W11" s="1">
        <f>AVERAGE(C11:K11)</f>
        <v/>
      </c>
    </row>
    <row r="12">
      <c r="A12" t="inlineStr">
        <is>
          <t>NOPAT Margin</t>
        </is>
      </c>
      <c r="B12" s="1">
        <f>B32/B31</f>
        <v/>
      </c>
      <c r="C12" s="1">
        <f>C32/C31</f>
        <v/>
      </c>
      <c r="D12" s="1">
        <f>D32/D31</f>
        <v/>
      </c>
      <c r="E12" s="1">
        <f>E32/E31</f>
        <v/>
      </c>
      <c r="F12" s="1">
        <f>F32/F31</f>
        <v/>
      </c>
      <c r="G12" s="1">
        <f>G32/G31</f>
        <v/>
      </c>
      <c r="H12" s="1">
        <f>H32/H31</f>
        <v/>
      </c>
      <c r="I12" s="1">
        <f>I32/I31</f>
        <v/>
      </c>
      <c r="J12" s="1">
        <f>J32/J31</f>
        <v/>
      </c>
      <c r="K12" s="1">
        <f>K32/K31</f>
        <v/>
      </c>
      <c r="L12" s="29" t="n">
        <v>0.32</v>
      </c>
      <c r="M12" s="29" t="n">
        <v>0.315</v>
      </c>
      <c r="N12" s="29" t="n">
        <v>0.31</v>
      </c>
      <c r="O12" s="29" t="n">
        <v>0.305</v>
      </c>
      <c r="P12" s="29" t="n">
        <v>0.3</v>
      </c>
      <c r="Q12" s="29" t="n">
        <v>0.295</v>
      </c>
      <c r="R12" s="29" t="n">
        <v>0.29</v>
      </c>
      <c r="S12" s="29" t="n">
        <v>0.285</v>
      </c>
      <c r="T12" s="29" t="n">
        <v>0.28</v>
      </c>
      <c r="U12" s="29" t="n">
        <v>0.28</v>
      </c>
      <c r="W12" s="1">
        <f>AVERAGE(C12:K12)</f>
        <v/>
      </c>
    </row>
    <row r="13"/>
    <row r="14">
      <c r="A14" t="inlineStr">
        <is>
          <t>(Beg) NOWC / Sales</t>
        </is>
      </c>
      <c r="B14" s="2" t="inlineStr">
        <is>
          <t>n/a</t>
        </is>
      </c>
      <c r="C14" s="2">
        <f>C21/C31</f>
        <v/>
      </c>
      <c r="D14" s="2">
        <f>D21/D31</f>
        <v/>
      </c>
      <c r="E14" s="2">
        <f>E21/E31</f>
        <v/>
      </c>
      <c r="F14" s="2">
        <f>F21/F31</f>
        <v/>
      </c>
      <c r="G14" s="2">
        <f>G21/G31</f>
        <v/>
      </c>
      <c r="H14" s="2">
        <f>H21/H31</f>
        <v/>
      </c>
      <c r="I14" s="2">
        <f>I21/I31</f>
        <v/>
      </c>
      <c r="J14" s="2">
        <f>J21/J31</f>
        <v/>
      </c>
      <c r="K14" s="2">
        <f>K21/K31</f>
        <v/>
      </c>
      <c r="L14" s="30" t="n">
        <v>0.02</v>
      </c>
      <c r="M14" s="31" t="n">
        <v>0.025</v>
      </c>
      <c r="N14" s="31" t="n">
        <v>0.03</v>
      </c>
      <c r="O14" s="31" t="n">
        <v>0.035</v>
      </c>
      <c r="P14" s="31" t="n">
        <v>0.04</v>
      </c>
      <c r="Q14" s="31" t="n">
        <v>0.045</v>
      </c>
      <c r="R14" s="31" t="n">
        <v>0.05</v>
      </c>
      <c r="S14" s="31" t="n">
        <v>0.055</v>
      </c>
      <c r="T14" s="31" t="n">
        <v>0.06</v>
      </c>
      <c r="U14" s="31" t="n">
        <v>0.065</v>
      </c>
      <c r="W14" s="2">
        <f>AVERAGE(C14:K14)</f>
        <v/>
      </c>
    </row>
    <row r="15">
      <c r="A15" t="inlineStr">
        <is>
          <t>(Beg) Net Op LT Assets / Sales</t>
        </is>
      </c>
      <c r="B15" s="2" t="inlineStr">
        <is>
          <t>n/a</t>
        </is>
      </c>
      <c r="C15" s="2">
        <f>C22/C31</f>
        <v/>
      </c>
      <c r="D15" s="2">
        <f>D22/D31</f>
        <v/>
      </c>
      <c r="E15" s="2">
        <f>E22/E31</f>
        <v/>
      </c>
      <c r="F15" s="2">
        <f>F22/F31</f>
        <v/>
      </c>
      <c r="G15" s="2">
        <f>G22/G31</f>
        <v/>
      </c>
      <c r="H15" s="2">
        <f>H22/H31</f>
        <v/>
      </c>
      <c r="I15" s="2">
        <f>I22/I31</f>
        <v/>
      </c>
      <c r="J15" s="2">
        <f>J22/J31</f>
        <v/>
      </c>
      <c r="K15" s="2">
        <f>K22/K31</f>
        <v/>
      </c>
      <c r="L15" s="30" t="n">
        <v>0.5</v>
      </c>
      <c r="M15" s="31" t="n">
        <v>0.55</v>
      </c>
      <c r="N15" s="31" t="n">
        <v>0.6</v>
      </c>
      <c r="O15" s="31" t="n">
        <v>0.65</v>
      </c>
      <c r="P15" s="31" t="n">
        <v>0.7</v>
      </c>
      <c r="Q15" s="31" t="n">
        <v>0.75</v>
      </c>
      <c r="R15" s="31" t="n">
        <v>0.8</v>
      </c>
      <c r="S15" s="31" t="n">
        <v>0.85</v>
      </c>
      <c r="T15" s="31" t="n">
        <v>0.9</v>
      </c>
      <c r="U15" s="31" t="n">
        <v>0.95</v>
      </c>
      <c r="W15" s="2">
        <f>AVERAGE(C15:K15)</f>
        <v/>
      </c>
    </row>
    <row r="16"/>
    <row r="17">
      <c r="A17" t="inlineStr">
        <is>
          <t>Leverage (Beg Net Debt / Beg Assets)</t>
        </is>
      </c>
      <c r="B17" s="2" t="inlineStr">
        <is>
          <t>n/a</t>
        </is>
      </c>
      <c r="C17" s="2">
        <f>IFERROR(C26/C28,0)</f>
        <v/>
      </c>
      <c r="D17" s="2">
        <f>IFERROR(D26/D28,0)</f>
        <v/>
      </c>
      <c r="E17" s="2">
        <f>IFERROR(E26/E28,0)</f>
        <v/>
      </c>
      <c r="F17" s="2">
        <f>IFERROR(F26/F28,0)</f>
        <v/>
      </c>
      <c r="G17" s="2">
        <f>IFERROR(G26/G28,0)</f>
        <v/>
      </c>
      <c r="H17" s="2">
        <f>IFERROR(H26/H28,0)</f>
        <v/>
      </c>
      <c r="I17" s="2">
        <f>IFERROR(I26/I28,0)</f>
        <v/>
      </c>
      <c r="J17" s="2">
        <f>IFERROR(J26/J28,0)</f>
        <v/>
      </c>
      <c r="K17" s="2">
        <f>IFERROR(K26/K28,0)</f>
        <v/>
      </c>
      <c r="L17" s="30">
        <f>IFERROR(L26/L28,0)</f>
        <v/>
      </c>
      <c r="M17" s="30">
        <f>L17</f>
        <v/>
      </c>
      <c r="N17" s="30">
        <f>M17</f>
        <v/>
      </c>
      <c r="O17" s="30">
        <f>N17</f>
        <v/>
      </c>
      <c r="P17" s="30">
        <f>O17</f>
        <v/>
      </c>
      <c r="Q17" s="30">
        <f>P17</f>
        <v/>
      </c>
      <c r="R17" s="30">
        <f>Q17</f>
        <v/>
      </c>
      <c r="S17" s="30">
        <f>R17</f>
        <v/>
      </c>
      <c r="T17" s="30">
        <f>S17</f>
        <v/>
      </c>
      <c r="U17" s="30">
        <f>T17</f>
        <v/>
      </c>
    </row>
    <row r="18"/>
    <row r="19">
      <c r="A19" s="8" t="inlineStr">
        <is>
          <t>BALANCE SHEET (Beginning)</t>
        </is>
      </c>
    </row>
    <row r="20">
      <c r="A20" t="inlineStr">
        <is>
          <t>Operating Assets (Beginning)</t>
        </is>
      </c>
    </row>
    <row r="21">
      <c r="A21" t="inlineStr">
        <is>
          <t>Net operating working capital</t>
        </is>
      </c>
      <c r="B21" s="4">
        <f>'Condensed Financials'!B27</f>
        <v/>
      </c>
      <c r="C21" s="4">
        <f>'Condensed Financials'!C27</f>
        <v/>
      </c>
      <c r="D21" s="4">
        <f>'Condensed Financials'!D27</f>
        <v/>
      </c>
      <c r="E21" s="4">
        <f>'Condensed Financials'!E27</f>
        <v/>
      </c>
      <c r="F21" s="4">
        <f>'Condensed Financials'!F27</f>
        <v/>
      </c>
      <c r="G21" s="4">
        <f>'Condensed Financials'!G27</f>
        <v/>
      </c>
      <c r="H21" s="4">
        <f>'Condensed Financials'!H27</f>
        <v/>
      </c>
      <c r="I21" s="4">
        <f>'Condensed Financials'!I27</f>
        <v/>
      </c>
      <c r="J21" s="4">
        <f>'Condensed Financials'!J27</f>
        <v/>
      </c>
      <c r="K21" s="4">
        <f>'Condensed Financials'!K27</f>
        <v/>
      </c>
      <c r="L21" s="4">
        <f>'Condensed Financials'!K27</f>
        <v/>
      </c>
      <c r="M21" s="4">
        <f>M14*M$31</f>
        <v/>
      </c>
      <c r="N21" s="4">
        <f>N14*N$31</f>
        <v/>
      </c>
      <c r="O21" s="4">
        <f>O14*O$31</f>
        <v/>
      </c>
      <c r="P21" s="4">
        <f>P14*P$31</f>
        <v/>
      </c>
      <c r="Q21" s="4">
        <f>Q14*Q$31</f>
        <v/>
      </c>
      <c r="R21" s="4">
        <f>R14*R$31</f>
        <v/>
      </c>
      <c r="S21" s="4">
        <f>S14*S$31</f>
        <v/>
      </c>
      <c r="T21" s="4">
        <f>T14*T$31</f>
        <v/>
      </c>
      <c r="U21" s="4">
        <f>U14*U$31</f>
        <v/>
      </c>
    </row>
    <row r="22">
      <c r="A22" t="inlineStr">
        <is>
          <t>Net operating LT assets</t>
        </is>
      </c>
      <c r="B22" s="4">
        <f>'Condensed Financials'!B31</f>
        <v/>
      </c>
      <c r="C22" s="4">
        <f>'Condensed Financials'!C31</f>
        <v/>
      </c>
      <c r="D22" s="4">
        <f>'Condensed Financials'!D31</f>
        <v/>
      </c>
      <c r="E22" s="4">
        <f>'Condensed Financials'!E31</f>
        <v/>
      </c>
      <c r="F22" s="4">
        <f>'Condensed Financials'!F31</f>
        <v/>
      </c>
      <c r="G22" s="4">
        <f>'Condensed Financials'!G31</f>
        <v/>
      </c>
      <c r="H22" s="4">
        <f>'Condensed Financials'!H31</f>
        <v/>
      </c>
      <c r="I22" s="4">
        <f>'Condensed Financials'!I31</f>
        <v/>
      </c>
      <c r="J22" s="4">
        <f>'Condensed Financials'!J31</f>
        <v/>
      </c>
      <c r="K22" s="4">
        <f>'Condensed Financials'!K31</f>
        <v/>
      </c>
      <c r="L22" s="4">
        <f>'Condensed Financials'!K31</f>
        <v/>
      </c>
      <c r="M22" s="4">
        <f>M15*M$31</f>
        <v/>
      </c>
      <c r="N22" s="4">
        <f>N15*N$31</f>
        <v/>
      </c>
      <c r="O22" s="4">
        <f>O15*O$31</f>
        <v/>
      </c>
      <c r="P22" s="4">
        <f>P15*P$31</f>
        <v/>
      </c>
      <c r="Q22" s="4">
        <f>Q15*Q$31</f>
        <v/>
      </c>
      <c r="R22" s="4">
        <f>R15*R$31</f>
        <v/>
      </c>
      <c r="S22" s="4">
        <f>S15*S$31</f>
        <v/>
      </c>
      <c r="T22" s="4">
        <f>T15*T$31</f>
        <v/>
      </c>
      <c r="U22" s="4">
        <f>U15*U$31</f>
        <v/>
      </c>
    </row>
    <row r="23">
      <c r="A23" s="8" t="inlineStr">
        <is>
          <t>Total operating net assets</t>
        </is>
      </c>
      <c r="B23" s="4">
        <f>B21+B22</f>
        <v/>
      </c>
      <c r="C23" s="4">
        <f>C21+C22</f>
        <v/>
      </c>
      <c r="D23" s="4">
        <f>D21+D22</f>
        <v/>
      </c>
      <c r="E23" s="4">
        <f>E21+E22</f>
        <v/>
      </c>
      <c r="F23" s="4">
        <f>F21+F22</f>
        <v/>
      </c>
      <c r="G23" s="4">
        <f>G21+G22</f>
        <v/>
      </c>
      <c r="H23" s="4">
        <f>H21+H22</f>
        <v/>
      </c>
      <c r="I23" s="4">
        <f>I21+I22</f>
        <v/>
      </c>
      <c r="J23" s="4">
        <f>J21+J22</f>
        <v/>
      </c>
      <c r="K23" s="4">
        <f>K21+K22</f>
        <v/>
      </c>
      <c r="L23" s="4">
        <f>L21+L22</f>
        <v/>
      </c>
      <c r="M23" s="4">
        <f>M21+M22</f>
        <v/>
      </c>
      <c r="N23" s="4">
        <f>N21+N22</f>
        <v/>
      </c>
      <c r="O23" s="4">
        <f>O21+O22</f>
        <v/>
      </c>
      <c r="P23" s="4">
        <f>P21+P22</f>
        <v/>
      </c>
      <c r="Q23" s="4">
        <f>Q21+Q22</f>
        <v/>
      </c>
      <c r="R23" s="4">
        <f>R21+R22</f>
        <v/>
      </c>
      <c r="S23" s="4">
        <f>S21+S22</f>
        <v/>
      </c>
      <c r="T23" s="4">
        <f>T21+T22</f>
        <v/>
      </c>
      <c r="U23" s="4">
        <f>U21+U22</f>
        <v/>
      </c>
    </row>
    <row r="24"/>
    <row r="25">
      <c r="A25" t="inlineStr">
        <is>
          <t>Capital (Beginning)</t>
        </is>
      </c>
    </row>
    <row r="26">
      <c r="A26" t="inlineStr">
        <is>
          <t>Net debt</t>
        </is>
      </c>
      <c r="B26" s="4">
        <f>'Condensed Financials'!B37</f>
        <v/>
      </c>
      <c r="C26" s="4">
        <f>'Condensed Financials'!C37</f>
        <v/>
      </c>
      <c r="D26" s="4">
        <f>'Condensed Financials'!D37</f>
        <v/>
      </c>
      <c r="E26" s="4">
        <f>'Condensed Financials'!E37</f>
        <v/>
      </c>
      <c r="F26" s="4">
        <f>'Condensed Financials'!F37</f>
        <v/>
      </c>
      <c r="G26" s="4">
        <f>'Condensed Financials'!G37</f>
        <v/>
      </c>
      <c r="H26" s="4">
        <f>'Condensed Financials'!H37</f>
        <v/>
      </c>
      <c r="I26" s="4">
        <f>'Condensed Financials'!I37</f>
        <v/>
      </c>
      <c r="J26" s="4">
        <f>'Condensed Financials'!J37</f>
        <v/>
      </c>
      <c r="K26" s="4">
        <f>'Condensed Financials'!K37</f>
        <v/>
      </c>
      <c r="L26" s="4">
        <f>'Condensed Financials'!K37</f>
        <v/>
      </c>
      <c r="M26" s="4">
        <f>M17*M23</f>
        <v/>
      </c>
      <c r="N26" s="4">
        <f>N17*N23</f>
        <v/>
      </c>
      <c r="O26" s="4">
        <f>O17*O23</f>
        <v/>
      </c>
      <c r="P26" s="4">
        <f>P17*P23</f>
        <v/>
      </c>
      <c r="Q26" s="4">
        <f>Q17*Q23</f>
        <v/>
      </c>
      <c r="R26" s="4">
        <f>R17*R23</f>
        <v/>
      </c>
      <c r="S26" s="4">
        <f>S17*S23</f>
        <v/>
      </c>
      <c r="T26" s="4">
        <f>T17*T23</f>
        <v/>
      </c>
      <c r="U26" s="4">
        <f>U17*U23</f>
        <v/>
      </c>
    </row>
    <row r="27">
      <c r="A27" t="inlineStr">
        <is>
          <t>Common equity</t>
        </is>
      </c>
      <c r="B27" s="4">
        <f>'Condensed Financials'!B40</f>
        <v/>
      </c>
      <c r="C27" s="4">
        <f>'Condensed Financials'!C40</f>
        <v/>
      </c>
      <c r="D27" s="4">
        <f>'Condensed Financials'!D40</f>
        <v/>
      </c>
      <c r="E27" s="4">
        <f>'Condensed Financials'!E40</f>
        <v/>
      </c>
      <c r="F27" s="4">
        <f>'Condensed Financials'!F40</f>
        <v/>
      </c>
      <c r="G27" s="4">
        <f>'Condensed Financials'!G40</f>
        <v/>
      </c>
      <c r="H27" s="4">
        <f>'Condensed Financials'!H40</f>
        <v/>
      </c>
      <c r="I27" s="4">
        <f>'Condensed Financials'!I40</f>
        <v/>
      </c>
      <c r="J27" s="4">
        <f>'Condensed Financials'!J40</f>
        <v/>
      </c>
      <c r="K27" s="4">
        <f>'Condensed Financials'!K40</f>
        <v/>
      </c>
      <c r="L27" s="4">
        <f>'Condensed Financials'!K40</f>
        <v/>
      </c>
      <c r="M27" s="4">
        <f>M23-M26</f>
        <v/>
      </c>
      <c r="N27" s="4">
        <f>N23-N26</f>
        <v/>
      </c>
      <c r="O27" s="4">
        <f>O23-O26</f>
        <v/>
      </c>
      <c r="P27" s="4">
        <f>P23-P26</f>
        <v/>
      </c>
      <c r="Q27" s="4">
        <f>Q23-Q26</f>
        <v/>
      </c>
      <c r="R27" s="4">
        <f>R23-R26</f>
        <v/>
      </c>
      <c r="S27" s="4">
        <f>S23-S26</f>
        <v/>
      </c>
      <c r="T27" s="4">
        <f>T23-T26</f>
        <v/>
      </c>
      <c r="U27" s="4">
        <f>U23-U26</f>
        <v/>
      </c>
    </row>
    <row r="28">
      <c r="A28" s="8" t="inlineStr">
        <is>
          <t>Total Capital</t>
        </is>
      </c>
      <c r="B28" s="4">
        <f>B26+B27</f>
        <v/>
      </c>
      <c r="C28" s="4">
        <f>C26+C27</f>
        <v/>
      </c>
      <c r="D28" s="4">
        <f>D26+D27</f>
        <v/>
      </c>
      <c r="E28" s="4">
        <f>E26+E27</f>
        <v/>
      </c>
      <c r="F28" s="4">
        <f>F26+F27</f>
        <v/>
      </c>
      <c r="G28" s="4">
        <f>G26+G27</f>
        <v/>
      </c>
      <c r="H28" s="4">
        <f>H26+H27</f>
        <v/>
      </c>
      <c r="I28" s="4">
        <f>I26+I27</f>
        <v/>
      </c>
      <c r="J28" s="4">
        <f>J26+J27</f>
        <v/>
      </c>
      <c r="K28" s="4">
        <f>K26+K27</f>
        <v/>
      </c>
      <c r="L28" s="4">
        <f>L26+L27</f>
        <v/>
      </c>
      <c r="M28" s="4">
        <f>M26+M27</f>
        <v/>
      </c>
      <c r="N28" s="4">
        <f>N26+N27</f>
        <v/>
      </c>
      <c r="O28" s="4">
        <f>O26+O27</f>
        <v/>
      </c>
      <c r="P28" s="4">
        <f>P26+P27</f>
        <v/>
      </c>
      <c r="Q28" s="4">
        <f>Q26+Q27</f>
        <v/>
      </c>
      <c r="R28" s="4">
        <f>R26+R27</f>
        <v/>
      </c>
      <c r="S28" s="4">
        <f>S26+S27</f>
        <v/>
      </c>
      <c r="T28" s="4">
        <f>T26+T27</f>
        <v/>
      </c>
      <c r="U28" s="4">
        <f>U26+U27</f>
        <v/>
      </c>
    </row>
    <row r="29"/>
    <row r="30">
      <c r="A30" s="8" t="inlineStr">
        <is>
          <t>INCOME STATEMENT</t>
        </is>
      </c>
    </row>
    <row r="31">
      <c r="A31" t="inlineStr">
        <is>
          <t>Sales</t>
        </is>
      </c>
      <c r="B31" s="4">
        <f>'Income Statement'!B7</f>
        <v/>
      </c>
      <c r="C31" s="4">
        <f>'Income Statement'!C7</f>
        <v/>
      </c>
      <c r="D31" s="4">
        <f>'Income Statement'!D7</f>
        <v/>
      </c>
      <c r="E31" s="4">
        <f>'Income Statement'!E7</f>
        <v/>
      </c>
      <c r="F31" s="4">
        <f>'Income Statement'!F7</f>
        <v/>
      </c>
      <c r="G31" s="4">
        <f>'Income Statement'!G7</f>
        <v/>
      </c>
      <c r="H31" s="4">
        <f>'Income Statement'!H7</f>
        <v/>
      </c>
      <c r="I31" s="4">
        <f>'Income Statement'!I7</f>
        <v/>
      </c>
      <c r="J31" s="4">
        <f>'Income Statement'!J7</f>
        <v/>
      </c>
      <c r="K31" s="4">
        <f>'Income Statement'!K7</f>
        <v/>
      </c>
      <c r="L31" s="4">
        <f>K31*(1+L11)</f>
        <v/>
      </c>
      <c r="M31" s="4">
        <f>L31*(1+M11)</f>
        <v/>
      </c>
      <c r="N31" s="4">
        <f>M31*(1+N11)</f>
        <v/>
      </c>
      <c r="O31" s="4">
        <f>N31*(1+O11)</f>
        <v/>
      </c>
      <c r="P31" s="4">
        <f>O31*(1+P11)</f>
        <v/>
      </c>
      <c r="Q31" s="4">
        <f>P31*(1+Q11)</f>
        <v/>
      </c>
      <c r="R31" s="4">
        <f>Q31*(1+R11)</f>
        <v/>
      </c>
      <c r="S31" s="4">
        <f>R31*(1+S11)</f>
        <v/>
      </c>
      <c r="T31" s="4">
        <f>S31*(1+T11)</f>
        <v/>
      </c>
      <c r="U31" s="4">
        <f>T31*(1+U11)</f>
        <v/>
      </c>
    </row>
    <row r="32">
      <c r="A32" t="inlineStr">
        <is>
          <t>NOPAT</t>
        </is>
      </c>
      <c r="B32" s="4">
        <f>'Condensed Financials'!B17</f>
        <v/>
      </c>
      <c r="C32" s="4">
        <f>'Condensed Financials'!C17</f>
        <v/>
      </c>
      <c r="D32" s="4">
        <f>'Condensed Financials'!D17</f>
        <v/>
      </c>
      <c r="E32" s="4">
        <f>'Condensed Financials'!E17</f>
        <v/>
      </c>
      <c r="F32" s="4">
        <f>'Condensed Financials'!F17</f>
        <v/>
      </c>
      <c r="G32" s="4">
        <f>'Condensed Financials'!G17</f>
        <v/>
      </c>
      <c r="H32" s="4">
        <f>'Condensed Financials'!H17</f>
        <v/>
      </c>
      <c r="I32" s="4">
        <f>'Condensed Financials'!I17</f>
        <v/>
      </c>
      <c r="J32" s="4">
        <f>'Condensed Financials'!J17</f>
        <v/>
      </c>
      <c r="K32" s="4">
        <f>'Condensed Financials'!K17</f>
        <v/>
      </c>
      <c r="L32" s="4">
        <f>L31*L12</f>
        <v/>
      </c>
      <c r="M32" s="4">
        <f>M31*M12</f>
        <v/>
      </c>
      <c r="N32" s="4">
        <f>N31*N12</f>
        <v/>
      </c>
      <c r="O32" s="4">
        <f>O31*O12</f>
        <v/>
      </c>
      <c r="P32" s="4">
        <f>P31*P12</f>
        <v/>
      </c>
      <c r="Q32" s="4">
        <f>Q31*Q12</f>
        <v/>
      </c>
      <c r="R32" s="4">
        <f>R31*R12</f>
        <v/>
      </c>
      <c r="S32" s="4">
        <f>S31*S12</f>
        <v/>
      </c>
      <c r="T32" s="4">
        <f>T31*T12</f>
        <v/>
      </c>
      <c r="U32" s="4">
        <f>U31*U12</f>
        <v/>
      </c>
    </row>
    <row r="33">
      <c r="A33" t="inlineStr">
        <is>
          <t>After tax interest expense (income)</t>
        </is>
      </c>
      <c r="B33" s="4">
        <f>'Condensed Financials'!B16</f>
        <v/>
      </c>
      <c r="C33" s="4">
        <f>'Condensed Financials'!C16</f>
        <v/>
      </c>
      <c r="D33" s="4">
        <f>'Condensed Financials'!D16</f>
        <v/>
      </c>
      <c r="E33" s="4">
        <f>'Condensed Financials'!E16</f>
        <v/>
      </c>
      <c r="F33" s="4">
        <f>'Condensed Financials'!F16</f>
        <v/>
      </c>
      <c r="G33" s="4">
        <f>'Condensed Financials'!G16</f>
        <v/>
      </c>
      <c r="H33" s="4">
        <f>'Condensed Financials'!H16</f>
        <v/>
      </c>
      <c r="I33" s="4">
        <f>'Condensed Financials'!I16</f>
        <v/>
      </c>
      <c r="J33" s="4">
        <f>'Condensed Financials'!J16</f>
        <v/>
      </c>
      <c r="K33" s="4">
        <f>'Condensed Financials'!K16</f>
        <v/>
      </c>
      <c r="L33" s="4">
        <f>L26*$B$8</f>
        <v/>
      </c>
      <c r="M33" s="4">
        <f>M26*$B$8</f>
        <v/>
      </c>
      <c r="N33" s="4">
        <f>N26*$B$8</f>
        <v/>
      </c>
      <c r="O33" s="4">
        <f>O26*$B$8</f>
        <v/>
      </c>
      <c r="P33" s="4">
        <f>P26*$B$8</f>
        <v/>
      </c>
      <c r="Q33" s="4">
        <f>Q26*$B$8</f>
        <v/>
      </c>
      <c r="R33" s="4">
        <f>R26*$B$8</f>
        <v/>
      </c>
      <c r="S33" s="4">
        <f>S26*$B$8</f>
        <v/>
      </c>
      <c r="T33" s="4">
        <f>T26*$B$8</f>
        <v/>
      </c>
      <c r="U33" s="4">
        <f>U26*$B$8</f>
        <v/>
      </c>
    </row>
    <row r="34">
      <c r="A34" s="8" t="inlineStr">
        <is>
          <t>Net Income</t>
        </is>
      </c>
      <c r="B34" s="4">
        <f>B32-B33</f>
        <v/>
      </c>
      <c r="C34" s="4">
        <f>C32-C33</f>
        <v/>
      </c>
      <c r="D34" s="4">
        <f>D32-D33</f>
        <v/>
      </c>
      <c r="E34" s="4">
        <f>E32-E33</f>
        <v/>
      </c>
      <c r="F34" s="4">
        <f>F32-F33</f>
        <v/>
      </c>
      <c r="G34" s="4">
        <f>G32-G33</f>
        <v/>
      </c>
      <c r="H34" s="4">
        <f>H32-H33</f>
        <v/>
      </c>
      <c r="I34" s="4">
        <f>I32-I33</f>
        <v/>
      </c>
      <c r="J34" s="4">
        <f>J32-J33</f>
        <v/>
      </c>
      <c r="K34" s="4">
        <f>K32-K33</f>
        <v/>
      </c>
      <c r="L34" s="4">
        <f>L32-L33</f>
        <v/>
      </c>
      <c r="M34" s="4">
        <f>M32-M33</f>
        <v/>
      </c>
      <c r="N34" s="4">
        <f>N32-N33</f>
        <v/>
      </c>
      <c r="O34" s="4">
        <f>O32-O33</f>
        <v/>
      </c>
      <c r="P34" s="4">
        <f>P32-P33</f>
        <v/>
      </c>
      <c r="Q34" s="4">
        <f>Q32-Q33</f>
        <v/>
      </c>
      <c r="R34" s="4">
        <f>R32-R33</f>
        <v/>
      </c>
      <c r="S34" s="4">
        <f>S32-S33</f>
        <v/>
      </c>
      <c r="T34" s="4">
        <f>T32-T33</f>
        <v/>
      </c>
      <c r="U34" s="4">
        <f>U32-U33</f>
        <v/>
      </c>
    </row>
    <row r="35"/>
    <row r="36">
      <c r="A36" s="8" t="inlineStr">
        <is>
          <t>Return on (Beg) Equity</t>
        </is>
      </c>
      <c r="B36" s="32" t="inlineStr">
        <is>
          <t>n/a</t>
        </is>
      </c>
      <c r="C36" s="32">
        <f>IFERROR(C34/C27,0)</f>
        <v/>
      </c>
      <c r="D36" s="32">
        <f>IFERROR(D34/D27,0)</f>
        <v/>
      </c>
      <c r="E36" s="32">
        <f>IFERROR(E34/E27,0)</f>
        <v/>
      </c>
      <c r="F36" s="32">
        <f>IFERROR(F34/F27,0)</f>
        <v/>
      </c>
      <c r="G36" s="32">
        <f>IFERROR(G34/G27,0)</f>
        <v/>
      </c>
      <c r="H36" s="32">
        <f>IFERROR(H34/H27,0)</f>
        <v/>
      </c>
      <c r="I36" s="32">
        <f>IFERROR(I34/I27,0)</f>
        <v/>
      </c>
      <c r="J36" s="32">
        <f>IFERROR(J34/J27,0)</f>
        <v/>
      </c>
      <c r="K36" s="32">
        <f>IFERROR(K34/K27,0)</f>
        <v/>
      </c>
      <c r="L36" s="32">
        <f>IFERROR(L34/L27,0)</f>
        <v/>
      </c>
      <c r="M36" s="32">
        <f>IFERROR(M34/M27,0)</f>
        <v/>
      </c>
      <c r="N36" s="32">
        <f>IFERROR(N34/N27,0)</f>
        <v/>
      </c>
      <c r="O36" s="32">
        <f>IFERROR(O34/O27,0)</f>
        <v/>
      </c>
      <c r="P36" s="32">
        <f>IFERROR(P34/P27,0)</f>
        <v/>
      </c>
      <c r="Q36" s="32">
        <f>IFERROR(Q34/Q27,0)</f>
        <v/>
      </c>
      <c r="R36" s="32">
        <f>IFERROR(R34/R27,0)</f>
        <v/>
      </c>
      <c r="S36" s="32">
        <f>IFERROR(S34/S27,0)</f>
        <v/>
      </c>
      <c r="T36" s="32">
        <f>IFERROR(T34/T27,0)</f>
        <v/>
      </c>
      <c r="U36" s="32">
        <f>IFERROR(U34/U27,0)</f>
        <v/>
      </c>
      <c r="W36" s="1">
        <f>AVERAGE(C36:K36)</f>
        <v/>
      </c>
    </row>
    <row r="37">
      <c r="A37" s="8" t="inlineStr">
        <is>
          <t>Return on (Beg) NOA</t>
        </is>
      </c>
      <c r="B37" s="32" t="inlineStr">
        <is>
          <t>n/a</t>
        </is>
      </c>
      <c r="C37" s="32">
        <f>IFERROR(C32/C23,0)</f>
        <v/>
      </c>
      <c r="D37" s="32">
        <f>IFERROR(D32/D23,0)</f>
        <v/>
      </c>
      <c r="E37" s="32">
        <f>IFERROR(E32/E23,0)</f>
        <v/>
      </c>
      <c r="F37" s="32">
        <f>IFERROR(F32/F23,0)</f>
        <v/>
      </c>
      <c r="G37" s="32">
        <f>IFERROR(G32/G23,0)</f>
        <v/>
      </c>
      <c r="H37" s="32">
        <f>IFERROR(H32/H23,0)</f>
        <v/>
      </c>
      <c r="I37" s="32">
        <f>IFERROR(I32/I23,0)</f>
        <v/>
      </c>
      <c r="J37" s="32">
        <f>IFERROR(J32/J23,0)</f>
        <v/>
      </c>
      <c r="K37" s="32">
        <f>IFERROR(K32/K23,0)</f>
        <v/>
      </c>
      <c r="L37" s="32">
        <f>IFERROR(L32/L23,0)</f>
        <v/>
      </c>
      <c r="M37" s="32">
        <f>IFERROR(M32/M23,0)</f>
        <v/>
      </c>
      <c r="N37" s="32">
        <f>IFERROR(N32/N23,0)</f>
        <v/>
      </c>
      <c r="O37" s="32">
        <f>IFERROR(O32/O23,0)</f>
        <v/>
      </c>
      <c r="P37" s="32">
        <f>IFERROR(P32/P23,0)</f>
        <v/>
      </c>
      <c r="Q37" s="32">
        <f>IFERROR(Q32/Q23,0)</f>
        <v/>
      </c>
      <c r="R37" s="32">
        <f>IFERROR(R32/R23,0)</f>
        <v/>
      </c>
      <c r="S37" s="32">
        <f>IFERROR(S32/S23,0)</f>
        <v/>
      </c>
      <c r="T37" s="32">
        <f>IFERROR(T32/T23,0)</f>
        <v/>
      </c>
      <c r="U37" s="32">
        <f>IFERROR(U32/U23,0)</f>
        <v/>
      </c>
      <c r="W37" s="1">
        <f>AVERAGE(C37:K37)</f>
        <v/>
      </c>
    </row>
    <row r="38"/>
    <row r="39">
      <c r="A39" s="8" t="inlineStr">
        <is>
          <t>ABNORMAL EARNINGS &amp; VALUATION</t>
        </is>
      </c>
    </row>
    <row r="40">
      <c r="A40" t="inlineStr">
        <is>
          <t>Net Income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>
        <f>L34</f>
        <v/>
      </c>
      <c r="M40" s="4">
        <f>M34</f>
        <v/>
      </c>
      <c r="N40" s="4">
        <f>N34</f>
        <v/>
      </c>
      <c r="O40" s="4">
        <f>O34</f>
        <v/>
      </c>
      <c r="P40" s="4">
        <f>P34</f>
        <v/>
      </c>
      <c r="Q40" s="4">
        <f>Q34</f>
        <v/>
      </c>
      <c r="R40" s="4">
        <f>R34</f>
        <v/>
      </c>
      <c r="S40" s="4">
        <f>S34</f>
        <v/>
      </c>
      <c r="T40" s="4">
        <f>T34</f>
        <v/>
      </c>
      <c r="U40" s="4">
        <f>U34</f>
        <v/>
      </c>
    </row>
    <row r="41">
      <c r="A41" t="inlineStr">
        <is>
          <t>Capital charge (Beg Eq × Ke)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>
        <f>L27*$B$5</f>
        <v/>
      </c>
      <c r="M41" s="4">
        <f>M27*$B$5</f>
        <v/>
      </c>
      <c r="N41" s="4">
        <f>N27*$B$5</f>
        <v/>
      </c>
      <c r="O41" s="4">
        <f>O27*$B$5</f>
        <v/>
      </c>
      <c r="P41" s="4">
        <f>P27*$B$5</f>
        <v/>
      </c>
      <c r="Q41" s="4">
        <f>Q27*$B$5</f>
        <v/>
      </c>
      <c r="R41" s="4">
        <f>R27*$B$5</f>
        <v/>
      </c>
      <c r="S41" s="4">
        <f>S27*$B$5</f>
        <v/>
      </c>
      <c r="T41" s="4">
        <f>T27*$B$5</f>
        <v/>
      </c>
      <c r="U41" s="4">
        <f>U27*$B$5</f>
        <v/>
      </c>
    </row>
    <row r="42">
      <c r="A42" s="8" t="inlineStr">
        <is>
          <t>Abnormal earnings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20">
        <f>L40-L41</f>
        <v/>
      </c>
      <c r="M42" s="20">
        <f>M40-M41</f>
        <v/>
      </c>
      <c r="N42" s="20">
        <f>N40-N41</f>
        <v/>
      </c>
      <c r="O42" s="20">
        <f>O40-O41</f>
        <v/>
      </c>
      <c r="P42" s="20">
        <f>P40-P41</f>
        <v/>
      </c>
      <c r="Q42" s="20">
        <f>Q40-Q41</f>
        <v/>
      </c>
      <c r="R42" s="20">
        <f>R40-R41</f>
        <v/>
      </c>
      <c r="S42" s="20">
        <f>S40-S41</f>
        <v/>
      </c>
      <c r="T42" s="20">
        <f>T40-T41</f>
        <v/>
      </c>
      <c r="U42" s="20">
        <f>U40-U41</f>
        <v/>
      </c>
    </row>
    <row r="43">
      <c r="A43" t="inlineStr">
        <is>
          <t>Free Cash Flow to Equity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20">
        <f>L40+(K27-L27)</f>
        <v/>
      </c>
      <c r="M43" s="20">
        <f>M40+(L27-M27)</f>
        <v/>
      </c>
      <c r="N43" s="20">
        <f>N40+(M27-N27)</f>
        <v/>
      </c>
      <c r="O43" s="20">
        <f>O40+(N27-O27)</f>
        <v/>
      </c>
      <c r="P43" s="20">
        <f>P40+(O27-P27)</f>
        <v/>
      </c>
      <c r="Q43" s="20">
        <f>Q40+(P27-Q27)</f>
        <v/>
      </c>
      <c r="R43" s="20">
        <f>R40+(Q27-R27)</f>
        <v/>
      </c>
      <c r="S43" s="20">
        <f>S40+(R27-S27)</f>
        <v/>
      </c>
      <c r="T43" s="20">
        <f>T40+(S27-T27)</f>
        <v/>
      </c>
      <c r="U43" s="20">
        <f>U40+(T27-U27)</f>
        <v/>
      </c>
    </row>
    <row r="44">
      <c r="A44" t="inlineStr">
        <is>
          <t>PV Factor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>
        <f>1/(1+$B$5)</f>
        <v/>
      </c>
      <c r="M44" s="2">
        <f>L44/(1+$B$5)</f>
        <v/>
      </c>
      <c r="N44" s="2">
        <f>M44/(1+$B$5)</f>
        <v/>
      </c>
      <c r="O44" s="2">
        <f>N44/(1+$B$5)</f>
        <v/>
      </c>
      <c r="P44" s="2">
        <f>O44/(1+$B$5)</f>
        <v/>
      </c>
      <c r="Q44" s="2">
        <f>P44/(1+$B$5)</f>
        <v/>
      </c>
      <c r="R44" s="2">
        <f>Q44/(1+$B$5)</f>
        <v/>
      </c>
      <c r="S44" s="2">
        <f>R44/(1+$B$5)</f>
        <v/>
      </c>
      <c r="T44" s="2">
        <f>S44/(1+$B$5)</f>
        <v/>
      </c>
      <c r="U44" s="2">
        <f>T44/(1+$B$5)</f>
        <v/>
      </c>
    </row>
    <row r="45">
      <c r="A45" t="inlineStr">
        <is>
          <t>PV of abnormal earnings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>
        <f>L42*L44</f>
        <v/>
      </c>
      <c r="M45" s="4">
        <f>M42*M44</f>
        <v/>
      </c>
      <c r="N45" s="4">
        <f>N42*N44</f>
        <v/>
      </c>
      <c r="O45" s="4">
        <f>O42*O44</f>
        <v/>
      </c>
      <c r="P45" s="4">
        <f>P42*P44</f>
        <v/>
      </c>
      <c r="Q45" s="4">
        <f>Q42*Q44</f>
        <v/>
      </c>
      <c r="R45" s="4">
        <f>R42*R44</f>
        <v/>
      </c>
      <c r="S45" s="4">
        <f>S42*S44</f>
        <v/>
      </c>
      <c r="T45" s="4">
        <f>T42*T44</f>
        <v/>
      </c>
      <c r="U45" s="4">
        <f>U42*U44</f>
        <v/>
      </c>
    </row>
    <row r="46">
      <c r="A46" t="inlineStr">
        <is>
          <t>Sum of PV of abnormal earnings</t>
        </is>
      </c>
      <c r="L46" s="4">
        <f>SUM(L45:U45)</f>
        <v/>
      </c>
      <c r="U46" s="4">
        <f>U42*(1+$B$9)/($B$5-$B$9)</f>
        <v/>
      </c>
    </row>
    <row r="47">
      <c r="A47" t="inlineStr">
        <is>
          <t>Terminal value (PV)</t>
        </is>
      </c>
      <c r="L47" s="4">
        <f>U46*U44</f>
        <v/>
      </c>
    </row>
    <row r="48">
      <c r="A48" t="inlineStr">
        <is>
          <t>Book Value of Equity (anchor)</t>
        </is>
      </c>
      <c r="L48" s="4">
        <f>L27</f>
        <v/>
      </c>
    </row>
    <row r="49">
      <c r="A49" s="8" t="inlineStr">
        <is>
          <t>Intrinsic Value of Common Equity</t>
        </is>
      </c>
      <c r="L49" s="97">
        <f>L48+L47+L46</f>
        <v/>
      </c>
    </row>
    <row r="50">
      <c r="A50" t="inlineStr">
        <is>
          <t>Number of shares (diluted, M)</t>
        </is>
      </c>
      <c r="L50" s="16" t="n">
        <v>12230</v>
      </c>
    </row>
    <row r="51">
      <c r="A51" s="8" t="inlineStr">
        <is>
          <t>Intrinsic value per share</t>
        </is>
      </c>
      <c r="L51" s="98">
        <f>L49/L50</f>
        <v/>
      </c>
    </row>
    <row r="52">
      <c r="A52" s="99" t="n"/>
      <c r="B52" s="99" t="n"/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</row>
    <row r="53">
      <c r="A53" s="96" t="inlineStr">
        <is>
          <t>ENTERPRISE DCF (FCFF / WACC) — cross-check of the equity (RIM) value</t>
        </is>
      </c>
      <c r="B53" s="99" t="n"/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</row>
    <row r="54">
      <c r="A54" s="100" t="inlineStr">
        <is>
          <t>FCFF = NOPAT − ΔNet Operating Assets; EV = PV(FCFF) at WACC; Equity = EV − net debt (market value). Should ≈ the equity (RIM) value above. A material gap ⇒ recheck the market value of net debt or the WACC. Net cash here ⇒ the debt weight is negative; an inherent ~1–2% residual exists from terminal/leverage conventions.</t>
        </is>
      </c>
      <c r="K54" s="99" t="n"/>
      <c r="L54" s="99" t="n"/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</row>
    <row r="55">
      <c r="A55" s="99" t="n"/>
      <c r="B55" s="99" t="n"/>
      <c r="C55" s="99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</row>
    <row r="56">
      <c r="A56" s="96" t="inlineStr">
        <is>
          <t>WACC INPUTS</t>
        </is>
      </c>
      <c r="B56" s="99" t="n"/>
      <c r="C56" s="99" t="n"/>
      <c r="D56" s="99" t="n"/>
      <c r="E56" s="99" t="n"/>
      <c r="F56" s="99" t="n"/>
      <c r="G56" s="99" t="n"/>
      <c r="H56" s="99" t="n"/>
      <c r="I56" s="99" t="n"/>
      <c r="J56" s="99" t="n"/>
      <c r="K56" s="99" t="n"/>
      <c r="L56" s="99" t="n"/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</row>
    <row r="57">
      <c r="A57" s="99" t="inlineStr">
        <is>
          <t>Cost of equity (Ke)</t>
        </is>
      </c>
      <c r="B57" s="101">
        <f>B5</f>
        <v/>
      </c>
      <c r="C57" s="99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9" t="n"/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</row>
    <row r="58">
      <c r="A58" s="99" t="inlineStr">
        <is>
          <t>After-tax cost of debt (Kd)</t>
        </is>
      </c>
      <c r="B58" s="101">
        <f>B8</f>
        <v/>
      </c>
      <c r="C58" s="99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</row>
    <row r="59">
      <c r="A59" s="99" t="inlineStr">
        <is>
          <t>Net debt — book ($M)</t>
        </is>
      </c>
      <c r="B59" s="102">
        <f>L26</f>
        <v/>
      </c>
      <c r="C59" s="99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</row>
    <row r="60">
      <c r="A60" s="99" t="inlineStr">
        <is>
          <t>Net debt — market value ($M) — INPUT (book proxy; override when MV pulled)</t>
        </is>
      </c>
      <c r="B60" s="103" t="n">
        <v>-50006</v>
      </c>
      <c r="C60" s="99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</row>
    <row r="61">
      <c r="A61" s="99" t="inlineStr">
        <is>
          <t>Market cap ($M) = price × shares</t>
        </is>
      </c>
      <c r="B61" s="102">
        <f>363.6*L50</f>
        <v/>
      </c>
      <c r="C61" s="99" t="n"/>
      <c r="D61" s="99" t="n"/>
      <c r="E61" s="99" t="n"/>
      <c r="F61" s="99" t="n"/>
      <c r="G61" s="99" t="n"/>
      <c r="H61" s="99" t="n"/>
      <c r="I61" s="9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</row>
    <row r="62">
      <c r="A62" s="99" t="inlineStr">
        <is>
          <t>Equity weight wE</t>
        </is>
      </c>
      <c r="B62" s="101">
        <f>B61/(B61+B60)</f>
        <v/>
      </c>
      <c r="C62" s="99" t="n"/>
      <c r="D62" s="99" t="n"/>
      <c r="E62" s="99" t="n"/>
      <c r="F62" s="99" t="n"/>
      <c r="G62" s="99" t="n"/>
      <c r="H62" s="9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</row>
    <row r="63">
      <c r="A63" s="99" t="inlineStr">
        <is>
          <t>Debt weight wD</t>
        </is>
      </c>
      <c r="B63" s="101">
        <f>B60/(B61+B60)</f>
        <v/>
      </c>
      <c r="C63" s="99" t="n"/>
      <c r="D63" s="99" t="n"/>
      <c r="E63" s="99" t="n"/>
      <c r="F63" s="99" t="n"/>
      <c r="G63" s="99" t="n"/>
      <c r="H63" s="99" t="n"/>
      <c r="I63" s="9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</row>
    <row r="64">
      <c r="A64" s="99" t="inlineStr">
        <is>
          <t>WACC</t>
        </is>
      </c>
      <c r="B64" s="101">
        <f>B62*B57+B63*B58</f>
        <v/>
      </c>
      <c r="C64" s="99" t="n"/>
      <c r="D64" s="99" t="n"/>
      <c r="E64" s="99" t="n"/>
      <c r="F64" s="99" t="n"/>
      <c r="G64" s="99" t="n"/>
      <c r="H64" s="99" t="n"/>
      <c r="I64" s="9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</row>
    <row r="65">
      <c r="A65" s="99" t="n"/>
      <c r="B65" s="99" t="n"/>
      <c r="C65" s="99" t="n"/>
      <c r="D65" s="99" t="n"/>
      <c r="E65" s="99" t="n"/>
      <c r="F65" s="99" t="n"/>
      <c r="G65" s="99" t="n"/>
      <c r="H65" s="99" t="n"/>
      <c r="I65" s="99" t="n"/>
      <c r="J65" s="99" t="n"/>
      <c r="K65" s="99" t="n"/>
      <c r="L65" s="99" t="n"/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</row>
    <row r="66">
      <c r="A66" s="99" t="inlineStr">
        <is>
          <t>FCFF = NOPAT − ΔNet Op Assets ($M)</t>
        </is>
      </c>
      <c r="B66" s="99" t="n"/>
      <c r="C66" s="99" t="n"/>
      <c r="D66" s="99" t="n"/>
      <c r="E66" s="99" t="n"/>
      <c r="F66" s="99" t="n"/>
      <c r="G66" s="99" t="n"/>
      <c r="H66" s="99" t="n"/>
      <c r="I66" s="99" t="n"/>
      <c r="J66" s="99" t="n"/>
      <c r="K66" s="99" t="n"/>
      <c r="L66" s="102">
        <f>L32-(M23-L23)</f>
        <v/>
      </c>
      <c r="M66" s="102">
        <f>M32-(N23-M23)</f>
        <v/>
      </c>
      <c r="N66" s="102">
        <f>N32-(O23-N23)</f>
        <v/>
      </c>
      <c r="O66" s="102">
        <f>O32-(P23-O23)</f>
        <v/>
      </c>
      <c r="P66" s="102">
        <f>P32-(Q23-P23)</f>
        <v/>
      </c>
      <c r="Q66" s="102">
        <f>Q32-(R23-Q23)</f>
        <v/>
      </c>
      <c r="R66" s="102">
        <f>R32-(S23-R23)</f>
        <v/>
      </c>
      <c r="S66" s="102">
        <f>S32-(T23-S23)</f>
        <v/>
      </c>
      <c r="T66" s="102">
        <f>T32-(U23-T23)</f>
        <v/>
      </c>
      <c r="U66" s="102">
        <f>U32-U23*B9</f>
        <v/>
      </c>
    </row>
    <row r="67">
      <c r="A67" s="99" t="inlineStr">
        <is>
          <t>PV factor @ WACC</t>
        </is>
      </c>
      <c r="B67" s="99" t="n"/>
      <c r="C67" s="99" t="n"/>
      <c r="D67" s="99" t="n"/>
      <c r="E67" s="99" t="n"/>
      <c r="F67" s="99" t="n"/>
      <c r="G67" s="99" t="n"/>
      <c r="H67" s="99" t="n"/>
      <c r="I67" s="99" t="n"/>
      <c r="J67" s="99" t="n"/>
      <c r="K67" s="99" t="n"/>
      <c r="L67" s="104">
        <f>1/(1+$B$64)^1</f>
        <v/>
      </c>
      <c r="M67" s="104">
        <f>1/(1+$B$64)^2</f>
        <v/>
      </c>
      <c r="N67" s="104">
        <f>1/(1+$B$64)^3</f>
        <v/>
      </c>
      <c r="O67" s="104">
        <f>1/(1+$B$64)^4</f>
        <v/>
      </c>
      <c r="P67" s="104">
        <f>1/(1+$B$64)^5</f>
        <v/>
      </c>
      <c r="Q67" s="104">
        <f>1/(1+$B$64)^6</f>
        <v/>
      </c>
      <c r="R67" s="104">
        <f>1/(1+$B$64)^7</f>
        <v/>
      </c>
      <c r="S67" s="104">
        <f>1/(1+$B$64)^8</f>
        <v/>
      </c>
      <c r="T67" s="104">
        <f>1/(1+$B$64)^9</f>
        <v/>
      </c>
      <c r="U67" s="104">
        <f>1/(1+$B$64)^10</f>
        <v/>
      </c>
    </row>
    <row r="68">
      <c r="A68" s="99" t="inlineStr">
        <is>
          <t>PV of FCFF ($M)</t>
        </is>
      </c>
      <c r="B68" s="99" t="n"/>
      <c r="C68" s="99" t="n"/>
      <c r="D68" s="99" t="n"/>
      <c r="E68" s="99" t="n"/>
      <c r="F68" s="99" t="n"/>
      <c r="G68" s="99" t="n"/>
      <c r="H68" s="99" t="n"/>
      <c r="I68" s="99" t="n"/>
      <c r="J68" s="99" t="n"/>
      <c r="K68" s="99" t="n"/>
      <c r="L68" s="102">
        <f>L66*L67</f>
        <v/>
      </c>
      <c r="M68" s="102">
        <f>M66*M67</f>
        <v/>
      </c>
      <c r="N68" s="102">
        <f>N66*N67</f>
        <v/>
      </c>
      <c r="O68" s="102">
        <f>O66*O67</f>
        <v/>
      </c>
      <c r="P68" s="102">
        <f>P66*P67</f>
        <v/>
      </c>
      <c r="Q68" s="102">
        <f>Q66*Q67</f>
        <v/>
      </c>
      <c r="R68" s="102">
        <f>R66*R67</f>
        <v/>
      </c>
      <c r="S68" s="102">
        <f>S66*S67</f>
        <v/>
      </c>
      <c r="T68" s="102">
        <f>T66*T67</f>
        <v/>
      </c>
      <c r="U68" s="102">
        <f>U66*U67</f>
        <v/>
      </c>
    </row>
    <row r="69">
      <c r="A69" s="99" t="n"/>
      <c r="B69" s="99" t="n"/>
      <c r="C69" s="99" t="n"/>
      <c r="D69" s="99" t="n"/>
      <c r="E69" s="99" t="n"/>
      <c r="F69" s="99" t="n"/>
      <c r="G69" s="99" t="n"/>
      <c r="H69" s="99" t="n"/>
      <c r="I69" s="99" t="n"/>
      <c r="J69" s="99" t="n"/>
      <c r="K69" s="99" t="n"/>
      <c r="L69" s="99" t="n"/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</row>
    <row r="70" ht="16" customHeight="1" s="92">
      <c r="A70" s="105" t="inlineStr">
        <is>
          <t>Σ PV of FCFF (explicit 10y)</t>
        </is>
      </c>
      <c r="B70" s="99" t="n"/>
      <c r="C70" s="99" t="n"/>
      <c r="D70" s="99" t="n"/>
      <c r="E70" s="99" t="n"/>
      <c r="F70" s="99" t="n"/>
      <c r="G70" s="99" t="n"/>
      <c r="H70" s="99" t="n"/>
      <c r="I70" s="99" t="n"/>
      <c r="J70" s="99" t="n"/>
      <c r="K70" s="99" t="n"/>
      <c r="L70" s="102">
        <f>SUM(L68:U68)</f>
        <v/>
      </c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</row>
    <row r="71">
      <c r="A71" s="99" t="inlineStr">
        <is>
          <t>Terminal value (PV)</t>
        </is>
      </c>
      <c r="B71" s="99" t="n"/>
      <c r="C71" s="99" t="n"/>
      <c r="D71" s="99" t="n"/>
      <c r="E71" s="99" t="n"/>
      <c r="F71" s="99" t="n"/>
      <c r="G71" s="99" t="n"/>
      <c r="H71" s="99" t="n"/>
      <c r="I71" s="99" t="n"/>
      <c r="J71" s="99" t="n"/>
      <c r="K71" s="99" t="n"/>
      <c r="L71" s="102">
        <f>U66*(1+B9)/($B$64-B9)*U67</f>
        <v/>
      </c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</row>
    <row r="72">
      <c r="A72" s="96" t="inlineStr">
        <is>
          <t>Enterprise value ($M)</t>
        </is>
      </c>
      <c r="B72" s="99" t="n"/>
      <c r="C72" s="99" t="n"/>
      <c r="D72" s="99" t="n"/>
      <c r="E72" s="99" t="n"/>
      <c r="F72" s="99" t="n"/>
      <c r="G72" s="99" t="n"/>
      <c r="H72" s="99" t="n"/>
      <c r="I72" s="99" t="n"/>
      <c r="J72" s="99" t="n"/>
      <c r="K72" s="99" t="n"/>
      <c r="L72" s="97">
        <f>L70+L71</f>
        <v/>
      </c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</row>
    <row r="73">
      <c r="A73" s="99" t="inlineStr">
        <is>
          <t>less: net debt (market value)</t>
        </is>
      </c>
      <c r="B73" s="99" t="n"/>
      <c r="C73" s="99" t="n"/>
      <c r="D73" s="99" t="n"/>
      <c r="E73" s="99" t="n"/>
      <c r="F73" s="99" t="n"/>
      <c r="G73" s="99" t="n"/>
      <c r="H73" s="99" t="n"/>
      <c r="I73" s="99" t="n"/>
      <c r="J73" s="99" t="n"/>
      <c r="K73" s="99" t="n"/>
      <c r="L73" s="102">
        <f>B60</f>
        <v/>
      </c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</row>
    <row r="74">
      <c r="A74" s="96" t="inlineStr">
        <is>
          <t>Equity value — DCF ($M)</t>
        </is>
      </c>
      <c r="B74" s="99" t="n"/>
      <c r="C74" s="99" t="n"/>
      <c r="D74" s="99" t="n"/>
      <c r="E74" s="99" t="n"/>
      <c r="F74" s="99" t="n"/>
      <c r="G74" s="99" t="n"/>
      <c r="H74" s="99" t="n"/>
      <c r="I74" s="99" t="n"/>
      <c r="J74" s="99" t="n"/>
      <c r="K74" s="99" t="n"/>
      <c r="L74" s="97">
        <f>L72-L73</f>
        <v/>
      </c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</row>
    <row r="75">
      <c r="A75" s="96" t="inlineStr">
        <is>
          <t>IVPS — enterprise DCF</t>
        </is>
      </c>
      <c r="B75" s="99" t="n"/>
      <c r="C75" s="99" t="n"/>
      <c r="D75" s="99" t="n"/>
      <c r="E75" s="99" t="n"/>
      <c r="F75" s="99" t="n"/>
      <c r="G75" s="99" t="n"/>
      <c r="H75" s="99" t="n"/>
      <c r="I75" s="99" t="n"/>
      <c r="J75" s="99" t="n"/>
      <c r="K75" s="99" t="n"/>
      <c r="L75" s="98">
        <f>L74/L50</f>
        <v/>
      </c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</row>
    <row r="76">
      <c r="A76" s="99" t="n"/>
      <c r="B76" s="99" t="n"/>
      <c r="C76" s="99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</row>
    <row r="77">
      <c r="A77" s="96" t="inlineStr">
        <is>
          <t>RECONCILIATION vs equity (RIM) value</t>
        </is>
      </c>
      <c r="B77" s="99" t="n"/>
      <c r="C77" s="99" t="n"/>
      <c r="D77" s="99" t="n"/>
      <c r="E77" s="99" t="n"/>
      <c r="F77" s="99" t="n"/>
      <c r="G77" s="99" t="n"/>
      <c r="H77" s="99" t="n"/>
      <c r="I77" s="99" t="n"/>
      <c r="J77" s="99" t="n"/>
      <c r="K77" s="99" t="n"/>
      <c r="L77" s="99" t="n"/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</row>
    <row r="78">
      <c r="A78" s="99" t="inlineStr">
        <is>
          <t>IVPS — equity method (RIM)</t>
        </is>
      </c>
      <c r="B78" s="99" t="n"/>
      <c r="C78" s="99" t="n"/>
      <c r="D78" s="99" t="n"/>
      <c r="E78" s="99" t="n"/>
      <c r="F78" s="99" t="n"/>
      <c r="G78" s="99" t="n"/>
      <c r="H78" s="99" t="n"/>
      <c r="I78" s="99" t="n"/>
      <c r="J78" s="99" t="n"/>
      <c r="K78" s="99" t="n"/>
      <c r="L78" s="106">
        <f>L51</f>
        <v/>
      </c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</row>
    <row r="79">
      <c r="A79" s="99" t="inlineStr">
        <is>
          <t>IVPS — enterprise DCF</t>
        </is>
      </c>
      <c r="B79" s="99" t="n"/>
      <c r="C79" s="99" t="n"/>
      <c r="D79" s="99" t="n"/>
      <c r="E79" s="99" t="n"/>
      <c r="F79" s="99" t="n"/>
      <c r="G79" s="99" t="n"/>
      <c r="H79" s="99" t="n"/>
      <c r="I79" s="99" t="n"/>
      <c r="J79" s="99" t="n"/>
      <c r="K79" s="99" t="n"/>
      <c r="L79" s="106">
        <f>L75</f>
        <v/>
      </c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</row>
    <row r="80">
      <c r="A80" s="96" t="inlineStr">
        <is>
          <t>Gap (DCF − RIM)</t>
        </is>
      </c>
      <c r="B80" s="99" t="n"/>
      <c r="C80" s="99" t="n"/>
      <c r="D80" s="99" t="n"/>
      <c r="E80" s="99" t="n"/>
      <c r="F80" s="99" t="n"/>
      <c r="G80" s="99" t="n"/>
      <c r="H80" s="99" t="n"/>
      <c r="I80" s="99" t="n"/>
      <c r="J80" s="99" t="n"/>
      <c r="K80" s="99" t="n"/>
      <c r="L80" s="107">
        <f>L75-L51</f>
        <v/>
      </c>
      <c r="M80" s="101">
        <f>(L75-L51)/L51</f>
        <v/>
      </c>
      <c r="N80" s="99" t="n"/>
      <c r="O80" s="99" t="n"/>
      <c r="P80" s="99" t="n"/>
      <c r="Q80" s="99" t="n"/>
      <c r="R80" s="99" t="n"/>
      <c r="S80" s="99" t="n"/>
      <c r="T80" s="99" t="n"/>
      <c r="U80" s="99" t="n"/>
    </row>
    <row r="81">
      <c r="A81" s="100" t="inlineStr">
        <is>
          <t>≈0 expected. Material gap ⇒ recheck net-debt market value (row above) or WACC. Inherent ~1–2% residual from terminal/leverage conventions.</t>
        </is>
      </c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</row>
    <row r="82">
      <c r="A82" s="99" t="n"/>
      <c r="B82" s="99" t="n"/>
      <c r="C82" s="99" t="n"/>
      <c r="D82" s="99" t="n"/>
      <c r="E82" s="99" t="n"/>
      <c r="F82" s="99" t="n"/>
      <c r="G82" s="99" t="n"/>
      <c r="H82" s="99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</row>
    <row r="83">
      <c r="A83" s="76" t="inlineStr">
        <is>
          <t>SCENARIO RATIONALE — BULL</t>
        </is>
      </c>
      <c r="B83" s="99" t="n"/>
      <c r="C83" s="99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</row>
    <row r="84">
      <c r="A84" s="99" t="inlineStr">
        <is>
          <t>ILLUSTRATIVE BULL — generic durable-growth inputs for demonstration. Not analysis.</t>
        </is>
      </c>
      <c r="B84" s="99" t="n"/>
      <c r="C84" s="99" t="n"/>
      <c r="D84" s="99" t="n"/>
      <c r="E84" s="99" t="n"/>
      <c r="F84" s="99" t="n"/>
      <c r="G84" s="99" t="n"/>
      <c r="H84" s="99" t="n"/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</row>
    <row r="85">
      <c r="A85" s="76" t="n"/>
      <c r="B85" s="99" t="n"/>
      <c r="C85" s="99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</row>
    <row r="86">
      <c r="B86" s="99" t="n"/>
      <c r="C86" s="99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</row>
    <row r="87">
      <c r="A87" s="99" t="n"/>
      <c r="B87" s="99" t="n"/>
      <c r="C87" s="99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</row>
    <row r="88">
      <c r="A88" s="76" t="n"/>
      <c r="B88" s="99" t="n"/>
      <c r="C88" s="99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</row>
    <row r="89">
      <c r="B89" s="99" t="n"/>
      <c r="C89" s="99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</row>
    <row r="90">
      <c r="A90" s="99" t="n"/>
      <c r="B90" s="99" t="n"/>
      <c r="C90" s="99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</row>
    <row r="91">
      <c r="A91" s="76" t="n"/>
      <c r="B91" s="99" t="n"/>
      <c r="C91" s="99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9" t="n"/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</row>
    <row r="92">
      <c r="B92" s="99" t="n"/>
      <c r="C92" s="99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</row>
    <row r="93">
      <c r="A93" s="99" t="n"/>
      <c r="B93" s="99" t="n"/>
      <c r="C93" s="99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</row>
    <row r="94">
      <c r="A94" s="76" t="n"/>
      <c r="B94" s="99" t="n"/>
      <c r="C94" s="99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</row>
    <row r="95">
      <c r="B95" s="99" t="n"/>
      <c r="C95" s="99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</row>
    <row r="96">
      <c r="A96" s="99" t="n"/>
      <c r="B96" s="99" t="n"/>
      <c r="C96" s="99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</row>
    <row r="97">
      <c r="A97" s="105" t="n"/>
      <c r="B97" s="99" t="n"/>
      <c r="C97" s="99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</row>
  </sheetData>
  <mergeCells count="2">
    <mergeCell ref="A81:J81"/>
    <mergeCell ref="A54:J5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topLeftCell="A9" zoomScale="190" zoomScaleNormal="190" workbookViewId="0">
      <selection activeCell="A1" sqref="A1"/>
    </sheetView>
  </sheetViews>
  <sheetFormatPr baseColWidth="10" defaultColWidth="8.83203125" defaultRowHeight="15"/>
  <cols>
    <col width="38" customWidth="1" style="92" min="1" max="1"/>
    <col width="18" customWidth="1" style="92" min="2" max="5"/>
  </cols>
  <sheetData>
    <row r="1">
      <c r="A1" s="8" t="inlineStr">
        <is>
          <t>Alphabet Inc. (GOOGL) — Scenario Summary</t>
        </is>
      </c>
    </row>
    <row r="2">
      <c r="A2" t="inlineStr">
        <is>
          <t>Probability-Weighted Residual Income Valuation — ILLUSTRATIVE inputs (see model tabs); not analysis</t>
        </is>
      </c>
    </row>
    <row r="3"/>
    <row r="4">
      <c r="A4" s="8" t="inlineStr">
        <is>
          <t>Metric</t>
        </is>
      </c>
      <c r="B4" s="8" t="inlineStr">
        <is>
          <t>Bear</t>
        </is>
      </c>
      <c r="C4" s="8" t="inlineStr">
        <is>
          <t>Base</t>
        </is>
      </c>
      <c r="D4" s="8" t="inlineStr">
        <is>
          <t>Bull</t>
        </is>
      </c>
      <c r="E4" s="8" t="inlineStr">
        <is>
          <t>Weighted</t>
        </is>
      </c>
    </row>
    <row r="5">
      <c r="A5" t="inlineStr">
        <is>
          <t>Probability Weight</t>
        </is>
      </c>
      <c r="B5" s="33" t="n">
        <v>0.25</v>
      </c>
      <c r="C5" s="33" t="n">
        <v>0.5</v>
      </c>
      <c r="D5" s="33" t="n">
        <v>0.25</v>
      </c>
    </row>
    <row r="6"/>
    <row r="7">
      <c r="A7" s="8" t="inlineStr">
        <is>
          <t>VALUATION OUTPUTS</t>
        </is>
      </c>
    </row>
    <row r="8">
      <c r="A8" t="inlineStr">
        <is>
          <t>Intrinsic Value per Share</t>
        </is>
      </c>
      <c r="B8" s="34">
        <f>Model_Bear!L51</f>
        <v/>
      </c>
      <c r="C8" s="34">
        <f>Model_Base!L51</f>
        <v/>
      </c>
      <c r="D8" s="34">
        <f>Model_Bull!L51</f>
        <v/>
      </c>
      <c r="E8" s="34">
        <f>SUMPRODUCT(B5:D5,B8:D8)</f>
        <v/>
      </c>
    </row>
    <row r="9">
      <c r="A9" t="inlineStr">
        <is>
          <t>Intrinsic Value of Equity ($M)</t>
        </is>
      </c>
      <c r="B9" s="4">
        <f>Model_Bear!L49</f>
        <v/>
      </c>
      <c r="C9" s="4">
        <f>Model_Base!L49</f>
        <v/>
      </c>
      <c r="D9" s="4">
        <f>Model_Bull!L49</f>
        <v/>
      </c>
      <c r="E9" s="4">
        <f>SUMPRODUCT(B5:D5,B9:D9)</f>
        <v/>
      </c>
    </row>
    <row r="10">
      <c r="A10" t="inlineStr">
        <is>
          <t>Book Value of Equity ($M)</t>
        </is>
      </c>
      <c r="B10" s="4">
        <f>Model_Bear!L48</f>
        <v/>
      </c>
      <c r="C10" s="4">
        <f>Model_Base!L48</f>
        <v/>
      </c>
      <c r="D10" s="4">
        <f>Model_Bull!L48</f>
        <v/>
      </c>
      <c r="E10" s="4">
        <f>SUMPRODUCT(B5:D5,B10:D10)</f>
        <v/>
      </c>
    </row>
    <row r="11">
      <c r="A11" t="inlineStr">
        <is>
          <t>Sum PV of Abnormal Earnings ($M)</t>
        </is>
      </c>
      <c r="B11" s="4">
        <f>Model_Bear!L46</f>
        <v/>
      </c>
      <c r="C11" s="4">
        <f>Model_Base!L46</f>
        <v/>
      </c>
      <c r="D11" s="4">
        <f>Model_Bull!L46</f>
        <v/>
      </c>
      <c r="E11" s="4">
        <f>SUMPRODUCT(B5:D5,B11:D11)</f>
        <v/>
      </c>
    </row>
    <row r="12">
      <c r="A12" t="inlineStr">
        <is>
          <t>Terminal Value PV ($M)</t>
        </is>
      </c>
      <c r="B12" s="4">
        <f>Model_Bear!L47</f>
        <v/>
      </c>
      <c r="C12" s="4">
        <f>Model_Base!L47</f>
        <v/>
      </c>
      <c r="D12" s="4">
        <f>Model_Bull!L47</f>
        <v/>
      </c>
      <c r="E12" s="4">
        <f>SUMPRODUCT(B5:D5,B12:D12)</f>
        <v/>
      </c>
    </row>
    <row r="13"/>
    <row r="14">
      <c r="A14" s="8" t="inlineStr">
        <is>
          <t>MARKET COMPARISON</t>
        </is>
      </c>
    </row>
    <row r="15">
      <c r="A15" t="inlineStr">
        <is>
          <t>Current Market Price</t>
        </is>
      </c>
      <c r="B15" s="6" t="n">
        <v>363.6</v>
      </c>
    </row>
    <row r="16">
      <c r="A16" t="inlineStr">
        <is>
          <t>Implied Upside / (Downside)</t>
        </is>
      </c>
      <c r="B16" s="1">
        <f>B8/$B$15-1</f>
        <v/>
      </c>
      <c r="C16" s="1">
        <f>C8/$B$15-1</f>
        <v/>
      </c>
      <c r="D16" s="1">
        <f>D8/$B$15-1</f>
        <v/>
      </c>
      <c r="E16" s="1">
        <f>E8/$B$15-1</f>
        <v/>
      </c>
    </row>
    <row r="17">
      <c r="A17" s="99" t="n"/>
      <c r="B17" s="99" t="n"/>
      <c r="C17" s="99" t="n"/>
      <c r="D17" s="99" t="n"/>
      <c r="E17" s="99" t="n"/>
    </row>
    <row r="18">
      <c r="A18" s="96" t="inlineStr">
        <is>
          <t>TERMINAL RETURNS — vs HURDLES &amp; HISTORY</t>
        </is>
      </c>
      <c r="B18" s="99" t="n"/>
      <c r="C18" s="99" t="n"/>
      <c r="D18" s="99" t="n"/>
      <c r="E18" s="99" t="n"/>
    </row>
    <row r="19">
      <c r="A19" s="99" t="inlineStr">
        <is>
          <t>Terminal RNOA (Yr 10)</t>
        </is>
      </c>
      <c r="B19" s="101">
        <f>Model_Bear!U37</f>
        <v/>
      </c>
      <c r="C19" s="101">
        <f>Model_Base!U37</f>
        <v/>
      </c>
      <c r="D19" s="101">
        <f>Model_Bull!U37</f>
        <v/>
      </c>
      <c r="E19" s="99" t="n"/>
    </row>
    <row r="20">
      <c r="A20" s="99" t="inlineStr">
        <is>
          <t>WACC (firm hurdle)</t>
        </is>
      </c>
      <c r="B20" s="101">
        <f>Model_Bear!B64</f>
        <v/>
      </c>
      <c r="C20" s="101">
        <f>Model_Base!B64</f>
        <v/>
      </c>
      <c r="D20" s="101">
        <f>Model_Bull!B64</f>
        <v/>
      </c>
      <c r="E20" s="99" t="n"/>
    </row>
    <row r="21">
      <c r="A21" s="99" t="inlineStr">
        <is>
          <t>Historical RNOA (FY2025)</t>
        </is>
      </c>
      <c r="B21" s="101">
        <f>'ALT DuPont'!$K$20</f>
        <v/>
      </c>
      <c r="C21" s="101">
        <f>'ALT DuPont'!$K$20</f>
        <v/>
      </c>
      <c r="D21" s="101">
        <f>'ALT DuPont'!$K$20</f>
        <v/>
      </c>
      <c r="E21" s="99" t="n"/>
    </row>
    <row r="22">
      <c r="A22" s="99" t="inlineStr">
        <is>
          <t>Terminal RNOA − WACC</t>
        </is>
      </c>
      <c r="B22" s="101">
        <f>B19-B20</f>
        <v/>
      </c>
      <c r="C22" s="101">
        <f>C19-C20</f>
        <v/>
      </c>
      <c r="D22" s="101">
        <f>D19-D20</f>
        <v/>
      </c>
      <c r="E22" s="99" t="n"/>
    </row>
    <row r="23">
      <c r="A23" s="99" t="inlineStr">
        <is>
          <t>Terminal RNOA − historical</t>
        </is>
      </c>
      <c r="B23" s="101">
        <f>B19-B21</f>
        <v/>
      </c>
      <c r="C23" s="101">
        <f>C19-C21</f>
        <v/>
      </c>
      <c r="D23" s="101">
        <f>D19-D21</f>
        <v/>
      </c>
      <c r="E23" s="99" t="n"/>
    </row>
    <row r="24">
      <c r="A24" s="99" t="n"/>
      <c r="B24" s="99" t="n"/>
      <c r="C24" s="99" t="n"/>
      <c r="D24" s="99" t="n"/>
      <c r="E24" s="99" t="n"/>
    </row>
    <row r="25">
      <c r="A25" s="99" t="inlineStr">
        <is>
          <t>Terminal ROE (Yr 10)</t>
        </is>
      </c>
      <c r="B25" s="101">
        <f>Model_Bear!U36</f>
        <v/>
      </c>
      <c r="C25" s="101">
        <f>Model_Base!U36</f>
        <v/>
      </c>
      <c r="D25" s="101">
        <f>Model_Bull!U36</f>
        <v/>
      </c>
      <c r="E25" s="99" t="n"/>
    </row>
    <row r="26">
      <c r="A26" s="99" t="inlineStr">
        <is>
          <t>Cost of equity (Ke)</t>
        </is>
      </c>
      <c r="B26" s="101">
        <f>Model_Bear!B5</f>
        <v/>
      </c>
      <c r="C26" s="101">
        <f>Model_Base!B5</f>
        <v/>
      </c>
      <c r="D26" s="101">
        <f>Model_Bull!B5</f>
        <v/>
      </c>
      <c r="E26" s="99" t="n"/>
    </row>
    <row r="27">
      <c r="A27" s="99" t="inlineStr">
        <is>
          <t>Historical ROE (FY2025)</t>
        </is>
      </c>
      <c r="B27" s="101">
        <f>'ALT DuPont'!$K$30</f>
        <v/>
      </c>
      <c r="C27" s="101">
        <f>'ALT DuPont'!$K$30</f>
        <v/>
      </c>
      <c r="D27" s="101">
        <f>'ALT DuPont'!$K$30</f>
        <v/>
      </c>
      <c r="E27" s="99" t="n"/>
    </row>
    <row r="28">
      <c r="A28" s="99" t="inlineStr">
        <is>
          <t>Terminal ROE − cost of equity</t>
        </is>
      </c>
      <c r="B28" s="101">
        <f>B25-B26</f>
        <v/>
      </c>
      <c r="C28" s="101">
        <f>C25-C26</f>
        <v/>
      </c>
      <c r="D28" s="101">
        <f>D25-D26</f>
        <v/>
      </c>
      <c r="E28" s="99" t="n"/>
    </row>
    <row r="29">
      <c r="A29" s="99" t="inlineStr">
        <is>
          <t>Terminal ROE − historical</t>
        </is>
      </c>
      <c r="B29" s="101">
        <f>B25-B27</f>
        <v/>
      </c>
      <c r="C29" s="101">
        <f>C25-C27</f>
        <v/>
      </c>
      <c r="D29" s="101">
        <f>D25-D27</f>
        <v/>
      </c>
      <c r="E29" s="99" t="n"/>
    </row>
    <row r="30">
      <c r="A30" s="99" t="n"/>
      <c r="B30" s="99" t="n"/>
      <c r="C30" s="99" t="n"/>
      <c r="D30" s="99" t="n"/>
      <c r="E30" s="99" t="n"/>
    </row>
    <row r="31">
      <c r="A31" s="96" t="inlineStr">
        <is>
          <t>KEY ASSUMPTIONS</t>
        </is>
      </c>
      <c r="B31" s="99" t="n"/>
      <c r="C31" s="99" t="n"/>
      <c r="D31" s="99" t="n"/>
      <c r="E31" s="99" t="n"/>
    </row>
    <row r="32">
      <c r="A32" s="99" t="inlineStr">
        <is>
          <t>Year 1 Revenue Growth</t>
        </is>
      </c>
      <c r="B32" s="101">
        <f>Model_Bear!L11</f>
        <v/>
      </c>
      <c r="C32" s="101">
        <f>Model_Base!L11</f>
        <v/>
      </c>
      <c r="D32" s="101">
        <f>Model_Bull!L11</f>
        <v/>
      </c>
      <c r="E32" s="99" t="n"/>
    </row>
    <row r="33">
      <c r="A33" s="99" t="inlineStr">
        <is>
          <t>Terminal Revenue Growth</t>
        </is>
      </c>
      <c r="B33" s="101">
        <f>Model_Bear!U11</f>
        <v/>
      </c>
      <c r="C33" s="101">
        <f>Model_Base!U11</f>
        <v/>
      </c>
      <c r="D33" s="101">
        <f>Model_Bull!U11</f>
        <v/>
      </c>
      <c r="E33" s="99" t="n"/>
    </row>
    <row r="34">
      <c r="A34" s="99" t="inlineStr">
        <is>
          <t>Year 1 NOPAT Margin</t>
        </is>
      </c>
      <c r="B34" s="101">
        <f>Model_Bear!L12</f>
        <v/>
      </c>
      <c r="C34" s="101">
        <f>Model_Base!L12</f>
        <v/>
      </c>
      <c r="D34" s="101">
        <f>Model_Bull!L12</f>
        <v/>
      </c>
      <c r="E34" s="99" t="n"/>
    </row>
    <row r="35">
      <c r="A35" s="99" t="inlineStr">
        <is>
          <t>Terminal NOPAT Margin</t>
        </is>
      </c>
      <c r="B35" s="101">
        <f>Model_Bear!U12</f>
        <v/>
      </c>
      <c r="C35" s="101">
        <f>Model_Base!U12</f>
        <v/>
      </c>
      <c r="D35" s="101">
        <f>Model_Bull!U12</f>
        <v/>
      </c>
      <c r="E35" s="99" t="n"/>
    </row>
    <row r="36">
      <c r="A36" s="99" t="inlineStr">
        <is>
          <t>Beta</t>
        </is>
      </c>
      <c r="B36" s="108">
        <f>Model_Bear!B2</f>
        <v/>
      </c>
      <c r="C36" s="108">
        <f>Model_Base!B2</f>
        <v/>
      </c>
      <c r="D36" s="108">
        <f>Model_Bull!B2</f>
        <v/>
      </c>
      <c r="E36" s="99" t="n"/>
    </row>
    <row r="37">
      <c r="A37" s="99" t="n"/>
      <c r="B37" s="99" t="n"/>
      <c r="C37" s="99" t="n"/>
      <c r="D37" s="99" t="n"/>
      <c r="E37" s="99" t="n"/>
    </row>
    <row r="38">
      <c r="A38" s="96" t="inlineStr">
        <is>
          <t>IMPLIED MULTIPLES</t>
        </is>
      </c>
      <c r="B38" s="99" t="n"/>
      <c r="C38" s="99" t="n"/>
      <c r="D38" s="99" t="n"/>
      <c r="E38" s="99" t="n"/>
    </row>
    <row r="39">
      <c r="A39" s="99" t="inlineStr">
        <is>
          <t>One-year-ahead EPS (FY+1, $)</t>
        </is>
      </c>
      <c r="B39" s="106">
        <f>Model_Bear!L34/Model_Bear!L50</f>
        <v/>
      </c>
      <c r="C39" s="106">
        <f>Model_Base!L34/Model_Base!L50</f>
        <v/>
      </c>
      <c r="D39" s="106">
        <f>Model_Bull!L34/Model_Bull!L50</f>
        <v/>
      </c>
      <c r="E39" s="99" t="n"/>
    </row>
    <row r="40">
      <c r="A40" s="96" t="inlineStr">
        <is>
          <t>Implied forward P/E (IVPS ÷ FY+1 EPS)</t>
        </is>
      </c>
      <c r="B40" s="109">
        <f>Model_Bear!L51*Model_Bear!L50/Model_Bear!L34</f>
        <v/>
      </c>
      <c r="C40" s="109">
        <f>Model_Base!L51*Model_Base!L50/Model_Base!L34</f>
        <v/>
      </c>
      <c r="D40" s="109">
        <f>Model_Bull!L51*Model_Bull!L50/Model_Bull!L34</f>
        <v/>
      </c>
      <c r="E40" s="99" t="n"/>
    </row>
    <row r="41">
      <c r="A41" s="99" t="inlineStr">
        <is>
          <t>Yr-11 earnings (terminal +1, $M)</t>
        </is>
      </c>
      <c r="B41" s="102">
        <f>Model_Bear!U34*(1+Model_Bear!B9)</f>
        <v/>
      </c>
      <c r="C41" s="102">
        <f>Model_Base!U34*(1+Model_Base!B9)</f>
        <v/>
      </c>
      <c r="D41" s="102">
        <f>Model_Bull!U34*(1+Model_Bull!B9)</f>
        <v/>
      </c>
      <c r="E41" s="99" t="n"/>
    </row>
    <row r="42">
      <c r="A42" s="99" t="inlineStr">
        <is>
          <t>Terminal value (as of Yr-10, $M)</t>
        </is>
      </c>
      <c r="B42" s="102">
        <f>Model_Bear!U46</f>
        <v/>
      </c>
      <c r="C42" s="102">
        <f>Model_Base!U46</f>
        <v/>
      </c>
      <c r="D42" s="102">
        <f>Model_Bull!U46</f>
        <v/>
      </c>
      <c r="E42" s="99" t="n"/>
    </row>
    <row r="43">
      <c r="A43" s="96" t="inlineStr">
        <is>
          <t>Implied terminal multiple (TV as-of-Yr10 ÷ Yr-11 earnings)</t>
        </is>
      </c>
      <c r="B43" s="109">
        <f>Model_Bear!U46/(Model_Bear!U34*(1+Model_Bear!B9))</f>
        <v/>
      </c>
      <c r="C43" s="109">
        <f>Model_Base!U46/(Model_Base!U34*(1+Model_Base!B9))</f>
        <v/>
      </c>
      <c r="D43" s="109">
        <f>Model_Bull!U46/(Model_Bull!U34*(1+Model_Bull!B9))</f>
        <v/>
      </c>
      <c r="E43" s="99" t="n"/>
    </row>
    <row r="44">
      <c r="A44" s="99" t="n"/>
      <c r="B44" s="99" t="n"/>
      <c r="C44" s="99" t="n"/>
      <c r="D44" s="99" t="n"/>
      <c r="E44" s="99" t="n"/>
    </row>
    <row r="45">
      <c r="A45" s="96" t="inlineStr">
        <is>
          <t>ENTERPRISE DCF CROSS-CHECK</t>
        </is>
      </c>
      <c r="B45" s="99" t="n"/>
      <c r="C45" s="99" t="n"/>
      <c r="D45" s="99" t="n"/>
      <c r="E45" s="99" t="n"/>
    </row>
    <row r="46">
      <c r="A46" s="99" t="inlineStr">
        <is>
          <t>IVPS — enterprise DCF</t>
        </is>
      </c>
      <c r="B46" s="106">
        <f>Model_Bear!L75</f>
        <v/>
      </c>
      <c r="C46" s="106">
        <f>Model_Base!L75</f>
        <v/>
      </c>
      <c r="D46" s="106">
        <f>Model_Bull!L75</f>
        <v/>
      </c>
      <c r="E46" s="99" t="n"/>
    </row>
    <row r="47">
      <c r="A47" s="99" t="inlineStr">
        <is>
          <t>IVPS — equity method (RIM)</t>
        </is>
      </c>
      <c r="B47" s="106">
        <f>Model_Bear!L51</f>
        <v/>
      </c>
      <c r="C47" s="106">
        <f>Model_Base!L51</f>
        <v/>
      </c>
      <c r="D47" s="106">
        <f>Model_Bull!L51</f>
        <v/>
      </c>
      <c r="E47" s="99" t="n"/>
    </row>
    <row r="48">
      <c r="A48" s="96" t="inlineStr">
        <is>
          <t>Gap (DCF − RIM)</t>
        </is>
      </c>
      <c r="B48" s="107">
        <f>B46-B47</f>
        <v/>
      </c>
      <c r="C48" s="107">
        <f>C46-C47</f>
        <v/>
      </c>
      <c r="D48" s="107">
        <f>D46-D47</f>
        <v/>
      </c>
      <c r="E48" s="99" t="n"/>
    </row>
    <row r="49">
      <c r="A49" s="100" t="inlineStr">
        <is>
          <t>P/E uses our intrinsic value over next-year earnings. Terminal multiple = the terminal value AS OF Yr-10 (continuing value at the end of the explicit forecast) over Yr-11 earnings (= Yr-10 NI × (1+g)). RNOA is benchmarked to WACC (firm hurdle); ROE to cost of equity — both vs the FY2025 actual to gauge mean reversion.</t>
        </is>
      </c>
      <c r="E49" s="99" t="n"/>
    </row>
    <row r="50">
      <c r="A50" s="99" t="n"/>
      <c r="B50" s="99" t="n"/>
      <c r="C50" s="99" t="n"/>
      <c r="D50" s="99" t="n"/>
      <c r="E50" s="99" t="n"/>
    </row>
    <row r="51">
      <c r="A51" s="96" t="inlineStr">
        <is>
          <t>SENSITIVITY — IVPS vs Cost of Equity (rows) × Terminal Growth (cols), Base case</t>
        </is>
      </c>
      <c r="B51" s="99" t="n"/>
      <c r="C51" s="99" t="n"/>
      <c r="D51" s="99" t="n"/>
      <c r="E51" s="99" t="n"/>
    </row>
    <row r="52">
      <c r="A52" s="110" t="inlineStr">
        <is>
          <t>Ke ↓ / param →</t>
        </is>
      </c>
      <c r="B52" s="111">
        <f>Model_Base!$B$9-0.01</f>
        <v/>
      </c>
      <c r="C52" s="111">
        <f>Model_Base!$B$9-0.005</f>
        <v/>
      </c>
      <c r="D52" s="111">
        <f>Model_Base!$B$9+0.0</f>
        <v/>
      </c>
      <c r="E52" s="111">
        <f>Model_Base!$B$9+0.005</f>
        <v/>
      </c>
      <c r="F52" s="111">
        <f>Model_Base!$B$9+0.01</f>
        <v/>
      </c>
    </row>
    <row r="53">
      <c r="A53" s="111">
        <f>Model_Base!$B$5-0.02</f>
        <v/>
      </c>
      <c r="B53" s="106">
        <f>((Model_Base!$L$48+SUMPRODUCT((Model_Base!$L$40:$U$40-$A$53*Model_Base!$L$27:$U$27)/(1+$A$53)^{1,2,3,4,5,6,7,8,9,10})+(Model_Base!$U$40-$A$53*Model_Base!$U$27)*(1+B$52)/($A$53-B$52)/(1+$A$53)^10)/Model_Base!$L$50)</f>
        <v/>
      </c>
      <c r="C53" s="106">
        <f>((Model_Base!$L$48+SUMPRODUCT((Model_Base!$L$40:$U$40-$A$53*Model_Base!$L$27:$U$27)/(1+$A$53)^{1,2,3,4,5,6,7,8,9,10})+(Model_Base!$U$40-$A$53*Model_Base!$U$27)*(1+C$52)/($A$53-C$52)/(1+$A$53)^10)/Model_Base!$L$50)</f>
        <v/>
      </c>
      <c r="D53" s="106">
        <f>((Model_Base!$L$48+SUMPRODUCT((Model_Base!$L$40:$U$40-$A$53*Model_Base!$L$27:$U$27)/(1+$A$53)^{1,2,3,4,5,6,7,8,9,10})+(Model_Base!$U$40-$A$53*Model_Base!$U$27)*(1+D$52)/($A$53-D$52)/(1+$A$53)^10)/Model_Base!$L$50)</f>
        <v/>
      </c>
      <c r="E53" s="106">
        <f>((Model_Base!$L$48+SUMPRODUCT((Model_Base!$L$40:$U$40-$A$53*Model_Base!$L$27:$U$27)/(1+$A$53)^{1,2,3,4,5,6,7,8,9,10})+(Model_Base!$U$40-$A$53*Model_Base!$U$27)*(1+E$52)/($A$53-E$52)/(1+$A$53)^10)/Model_Base!$L$50)</f>
        <v/>
      </c>
      <c r="F53" s="6">
        <f>((Model_Base!$L$48+SUMPRODUCT((Model_Base!$L$40:$U$40-$A$53*Model_Base!$L$27:$U$27)/(1+$A$53)^{1,2,3,4,5,6,7,8,9,10})+(Model_Base!$U$40-$A$53*Model_Base!$U$27)*(1+F$52)/($A$53-F$52)/(1+$A$53)^10)/Model_Base!$L$50)</f>
        <v/>
      </c>
    </row>
    <row r="54">
      <c r="A54" s="111">
        <f>Model_Base!$B$5-0.01</f>
        <v/>
      </c>
      <c r="B54" s="106">
        <f>((Model_Base!$L$48+SUMPRODUCT((Model_Base!$L$40:$U$40-$A$54*Model_Base!$L$27:$U$27)/(1+$A$54)^{1,2,3,4,5,6,7,8,9,10})+(Model_Base!$U$40-$A$54*Model_Base!$U$27)*(1+B$52)/($A$54-B$52)/(1+$A$54)^10)/Model_Base!$L$50)</f>
        <v/>
      </c>
      <c r="C54" s="106">
        <f>((Model_Base!$L$48+SUMPRODUCT((Model_Base!$L$40:$U$40-$A$54*Model_Base!$L$27:$U$27)/(1+$A$54)^{1,2,3,4,5,6,7,8,9,10})+(Model_Base!$U$40-$A$54*Model_Base!$U$27)*(1+C$52)/($A$54-C$52)/(1+$A$54)^10)/Model_Base!$L$50)</f>
        <v/>
      </c>
      <c r="D54" s="106">
        <f>((Model_Base!$L$48+SUMPRODUCT((Model_Base!$L$40:$U$40-$A$54*Model_Base!$L$27:$U$27)/(1+$A$54)^{1,2,3,4,5,6,7,8,9,10})+(Model_Base!$U$40-$A$54*Model_Base!$U$27)*(1+D$52)/($A$54-D$52)/(1+$A$54)^10)/Model_Base!$L$50)</f>
        <v/>
      </c>
      <c r="E54" s="106">
        <f>((Model_Base!$L$48+SUMPRODUCT((Model_Base!$L$40:$U$40-$A$54*Model_Base!$L$27:$U$27)/(1+$A$54)^{1,2,3,4,5,6,7,8,9,10})+(Model_Base!$U$40-$A$54*Model_Base!$U$27)*(1+E$52)/($A$54-E$52)/(1+$A$54)^10)/Model_Base!$L$50)</f>
        <v/>
      </c>
      <c r="F54" s="6">
        <f>((Model_Base!$L$48+SUMPRODUCT((Model_Base!$L$40:$U$40-$A$54*Model_Base!$L$27:$U$27)/(1+$A$54)^{1,2,3,4,5,6,7,8,9,10})+(Model_Base!$U$40-$A$54*Model_Base!$U$27)*(1+F$52)/($A$54-F$52)/(1+$A$54)^10)/Model_Base!$L$50)</f>
        <v/>
      </c>
    </row>
    <row r="55">
      <c r="A55" s="111">
        <f>Model_Base!$B$5+0.0</f>
        <v/>
      </c>
      <c r="B55" s="106">
        <f>((Model_Base!$L$48+SUMPRODUCT((Model_Base!$L$40:$U$40-$A$55*Model_Base!$L$27:$U$27)/(1+$A$55)^{1,2,3,4,5,6,7,8,9,10})+(Model_Base!$U$40-$A$55*Model_Base!$U$27)*(1+B$52)/($A$55-B$52)/(1+$A$55)^10)/Model_Base!$L$50)</f>
        <v/>
      </c>
      <c r="C55" s="106">
        <f>((Model_Base!$L$48+SUMPRODUCT((Model_Base!$L$40:$U$40-$A$55*Model_Base!$L$27:$U$27)/(1+$A$55)^{1,2,3,4,5,6,7,8,9,10})+(Model_Base!$U$40-$A$55*Model_Base!$U$27)*(1+C$52)/($A$55-C$52)/(1+$A$55)^10)/Model_Base!$L$50)</f>
        <v/>
      </c>
      <c r="D55" s="107">
        <f>((Model_Base!$L$48+SUMPRODUCT((Model_Base!$L$40:$U$40-$A$55*Model_Base!$L$27:$U$27)/(1+$A$55)^{1,2,3,4,5,6,7,8,9,10})+(Model_Base!$U$40-$A$55*Model_Base!$U$27)*(1+D$52)/($A$55-D$52)/(1+$A$55)^10)/Model_Base!$L$50)</f>
        <v/>
      </c>
      <c r="E55" s="106">
        <f>((Model_Base!$L$48+SUMPRODUCT((Model_Base!$L$40:$U$40-$A$55*Model_Base!$L$27:$U$27)/(1+$A$55)^{1,2,3,4,5,6,7,8,9,10})+(Model_Base!$U$40-$A$55*Model_Base!$U$27)*(1+E$52)/($A$55-E$52)/(1+$A$55)^10)/Model_Base!$L$50)</f>
        <v/>
      </c>
      <c r="F55" s="6">
        <f>((Model_Base!$L$48+SUMPRODUCT((Model_Base!$L$40:$U$40-$A$55*Model_Base!$L$27:$U$27)/(1+$A$55)^{1,2,3,4,5,6,7,8,9,10})+(Model_Base!$U$40-$A$55*Model_Base!$U$27)*(1+F$52)/($A$55-F$52)/(1+$A$55)^10)/Model_Base!$L$50)</f>
        <v/>
      </c>
    </row>
    <row r="56">
      <c r="A56" s="111">
        <f>Model_Base!$B$5+0.01</f>
        <v/>
      </c>
      <c r="B56" s="106">
        <f>((Model_Base!$L$48+SUMPRODUCT((Model_Base!$L$40:$U$40-$A$56*Model_Base!$L$27:$U$27)/(1+$A$56)^{1,2,3,4,5,6,7,8,9,10})+(Model_Base!$U$40-$A$56*Model_Base!$U$27)*(1+B$52)/($A$56-B$52)/(1+$A$56)^10)/Model_Base!$L$50)</f>
        <v/>
      </c>
      <c r="C56" s="106">
        <f>((Model_Base!$L$48+SUMPRODUCT((Model_Base!$L$40:$U$40-$A$56*Model_Base!$L$27:$U$27)/(1+$A$56)^{1,2,3,4,5,6,7,8,9,10})+(Model_Base!$U$40-$A$56*Model_Base!$U$27)*(1+C$52)/($A$56-C$52)/(1+$A$56)^10)/Model_Base!$L$50)</f>
        <v/>
      </c>
      <c r="D56" s="106">
        <f>((Model_Base!$L$48+SUMPRODUCT((Model_Base!$L$40:$U$40-$A$56*Model_Base!$L$27:$U$27)/(1+$A$56)^{1,2,3,4,5,6,7,8,9,10})+(Model_Base!$U$40-$A$56*Model_Base!$U$27)*(1+D$52)/($A$56-D$52)/(1+$A$56)^10)/Model_Base!$L$50)</f>
        <v/>
      </c>
      <c r="E56" s="106">
        <f>((Model_Base!$L$48+SUMPRODUCT((Model_Base!$L$40:$U$40-$A$56*Model_Base!$L$27:$U$27)/(1+$A$56)^{1,2,3,4,5,6,7,8,9,10})+(Model_Base!$U$40-$A$56*Model_Base!$U$27)*(1+E$52)/($A$56-E$52)/(1+$A$56)^10)/Model_Base!$L$50)</f>
        <v/>
      </c>
      <c r="F56" s="6">
        <f>((Model_Base!$L$48+SUMPRODUCT((Model_Base!$L$40:$U$40-$A$56*Model_Base!$L$27:$U$27)/(1+$A$56)^{1,2,3,4,5,6,7,8,9,10})+(Model_Base!$U$40-$A$56*Model_Base!$U$27)*(1+F$52)/($A$56-F$52)/(1+$A$56)^10)/Model_Base!$L$50)</f>
        <v/>
      </c>
    </row>
    <row r="57">
      <c r="A57" s="111">
        <f>Model_Base!$B$5+0.02</f>
        <v/>
      </c>
      <c r="B57" s="106">
        <f>((Model_Base!$L$48+SUMPRODUCT((Model_Base!$L$40:$U$40-$A$57*Model_Base!$L$27:$U$27)/(1+$A$57)^{1,2,3,4,5,6,7,8,9,10})+(Model_Base!$U$40-$A$57*Model_Base!$U$27)*(1+B$52)/($A$57-B$52)/(1+$A$57)^10)/Model_Base!$L$50)</f>
        <v/>
      </c>
      <c r="C57" s="106">
        <f>((Model_Base!$L$48+SUMPRODUCT((Model_Base!$L$40:$U$40-$A$57*Model_Base!$L$27:$U$27)/(1+$A$57)^{1,2,3,4,5,6,7,8,9,10})+(Model_Base!$U$40-$A$57*Model_Base!$U$27)*(1+C$52)/($A$57-C$52)/(1+$A$57)^10)/Model_Base!$L$50)</f>
        <v/>
      </c>
      <c r="D57" s="106">
        <f>((Model_Base!$L$48+SUMPRODUCT((Model_Base!$L$40:$U$40-$A$57*Model_Base!$L$27:$U$27)/(1+$A$57)^{1,2,3,4,5,6,7,8,9,10})+(Model_Base!$U$40-$A$57*Model_Base!$U$27)*(1+D$52)/($A$57-D$52)/(1+$A$57)^10)/Model_Base!$L$50)</f>
        <v/>
      </c>
      <c r="E57" s="106">
        <f>((Model_Base!$L$48+SUMPRODUCT((Model_Base!$L$40:$U$40-$A$57*Model_Base!$L$27:$U$27)/(1+$A$57)^{1,2,3,4,5,6,7,8,9,10})+(Model_Base!$U$40-$A$57*Model_Base!$U$27)*(1+E$52)/($A$57-E$52)/(1+$A$57)^10)/Model_Base!$L$50)</f>
        <v/>
      </c>
      <c r="F57" s="6">
        <f>((Model_Base!$L$48+SUMPRODUCT((Model_Base!$L$40:$U$40-$A$57*Model_Base!$L$27:$U$27)/(1+$A$57)^{1,2,3,4,5,6,7,8,9,10})+(Model_Base!$U$40-$A$57*Model_Base!$U$27)*(1+F$52)/($A$57-F$52)/(1+$A$57)^10)/Model_Base!$L$50)</f>
        <v/>
      </c>
    </row>
    <row r="58">
      <c r="A58" s="99" t="n"/>
      <c r="B58" s="99" t="n"/>
      <c r="C58" s="99" t="n"/>
      <c r="D58" s="99" t="n"/>
      <c r="E58" s="99" t="n"/>
    </row>
    <row r="59">
      <c r="A59" s="96" t="inlineStr">
        <is>
          <t>SENSITIVITY — IVPS vs Cost of Equity (rows) × Terminal NOPAT Margin (cols), Base case</t>
        </is>
      </c>
      <c r="B59" s="99" t="n"/>
      <c r="C59" s="99" t="n"/>
      <c r="D59" s="99" t="n"/>
      <c r="E59" s="99" t="n"/>
    </row>
    <row r="60">
      <c r="A60" s="110" t="inlineStr">
        <is>
          <t>Ke ↓ / param →</t>
        </is>
      </c>
      <c r="B60" s="112">
        <f>Model_Base!$U$12-0.03</f>
        <v/>
      </c>
      <c r="C60" s="112">
        <f>Model_Base!$U$12-0.015</f>
        <v/>
      </c>
      <c r="D60" s="112">
        <f>Model_Base!$U$12+0.0</f>
        <v/>
      </c>
      <c r="E60" s="112">
        <f>Model_Base!$U$12+0.015</f>
        <v/>
      </c>
      <c r="F60" s="112">
        <f>Model_Base!$U$12+0.03</f>
        <v/>
      </c>
    </row>
    <row r="61">
      <c r="A61" s="111">
        <f>Model_Base!$B$5-0.02</f>
        <v/>
      </c>
      <c r="B61" s="106">
        <f>((Model_Base!$L$48+SUMPRODUCT((Model_Base!$L$40:$T$40-$A$61*Model_Base!$L$27:$T$27)/(1+$A$61)^{1,2,3,4,5,6,7,8,9})+(Model_Base!$U$31*B$60-Model_Base!$U$33-$A$61*Model_Base!$U$27)/(1+$A$61)^10+(Model_Base!$U$31*B$60-Model_Base!$U$33-$A$61*Model_Base!$U$27)*(1+Model_Base!$B$9)/($A$61-Model_Base!$B$9)/(1+$A$61)^10)/Model_Base!$L$50)</f>
        <v/>
      </c>
      <c r="C61" s="106">
        <f>((Model_Base!$L$48+SUMPRODUCT((Model_Base!$L$40:$T$40-$A$61*Model_Base!$L$27:$T$27)/(1+$A$61)^{1,2,3,4,5,6,7,8,9})+(Model_Base!$U$31*C$60-Model_Base!$U$33-$A$61*Model_Base!$U$27)/(1+$A$61)^10+(Model_Base!$U$31*C$60-Model_Base!$U$33-$A$61*Model_Base!$U$27)*(1+Model_Base!$B$9)/($A$61-Model_Base!$B$9)/(1+$A$61)^10)/Model_Base!$L$50)</f>
        <v/>
      </c>
      <c r="D61" s="106">
        <f>((Model_Base!$L$48+SUMPRODUCT((Model_Base!$L$40:$T$40-$A$61*Model_Base!$L$27:$T$27)/(1+$A$61)^{1,2,3,4,5,6,7,8,9})+(Model_Base!$U$31*D$60-Model_Base!$U$33-$A$61*Model_Base!$U$27)/(1+$A$61)^10+(Model_Base!$U$31*D$60-Model_Base!$U$33-$A$61*Model_Base!$U$27)*(1+Model_Base!$B$9)/($A$61-Model_Base!$B$9)/(1+$A$61)^10)/Model_Base!$L$50)</f>
        <v/>
      </c>
      <c r="E61" s="106">
        <f>((Model_Base!$L$48+SUMPRODUCT((Model_Base!$L$40:$T$40-$A$61*Model_Base!$L$27:$T$27)/(1+$A$61)^{1,2,3,4,5,6,7,8,9})+(Model_Base!$U$31*E$60-Model_Base!$U$33-$A$61*Model_Base!$U$27)/(1+$A$61)^10+(Model_Base!$U$31*E$60-Model_Base!$U$33-$A$61*Model_Base!$U$27)*(1+Model_Base!$B$9)/($A$61-Model_Base!$B$9)/(1+$A$61)^10)/Model_Base!$L$50)</f>
        <v/>
      </c>
      <c r="F61" s="6">
        <f>((Model_Base!$L$48+SUMPRODUCT((Model_Base!$L$40:$T$40-$A$61*Model_Base!$L$27:$T$27)/(1+$A$61)^{1,2,3,4,5,6,7,8,9})+(Model_Base!$U$31*F$60-Model_Base!$U$33-$A$61*Model_Base!$U$27)/(1+$A$61)^10+(Model_Base!$U$31*F$60-Model_Base!$U$33-$A$61*Model_Base!$U$27)*(1+Model_Base!$B$9)/($A$61-Model_Base!$B$9)/(1+$A$61)^10)/Model_Base!$L$50)</f>
        <v/>
      </c>
    </row>
    <row r="62">
      <c r="A62" s="111">
        <f>Model_Base!$B$5-0.01</f>
        <v/>
      </c>
      <c r="B62" s="106">
        <f>((Model_Base!$L$48+SUMPRODUCT((Model_Base!$L$40:$T$40-$A$62*Model_Base!$L$27:$T$27)/(1+$A$62)^{1,2,3,4,5,6,7,8,9})+(Model_Base!$U$31*B$60-Model_Base!$U$33-$A$62*Model_Base!$U$27)/(1+$A$62)^10+(Model_Base!$U$31*B$60-Model_Base!$U$33-$A$62*Model_Base!$U$27)*(1+Model_Base!$B$9)/($A$62-Model_Base!$B$9)/(1+$A$62)^10)/Model_Base!$L$50)</f>
        <v/>
      </c>
      <c r="C62" s="106">
        <f>((Model_Base!$L$48+SUMPRODUCT((Model_Base!$L$40:$T$40-$A$62*Model_Base!$L$27:$T$27)/(1+$A$62)^{1,2,3,4,5,6,7,8,9})+(Model_Base!$U$31*C$60-Model_Base!$U$33-$A$62*Model_Base!$U$27)/(1+$A$62)^10+(Model_Base!$U$31*C$60-Model_Base!$U$33-$A$62*Model_Base!$U$27)*(1+Model_Base!$B$9)/($A$62-Model_Base!$B$9)/(1+$A$62)^10)/Model_Base!$L$50)</f>
        <v/>
      </c>
      <c r="D62" s="106">
        <f>((Model_Base!$L$48+SUMPRODUCT((Model_Base!$L$40:$T$40-$A$62*Model_Base!$L$27:$T$27)/(1+$A$62)^{1,2,3,4,5,6,7,8,9})+(Model_Base!$U$31*D$60-Model_Base!$U$33-$A$62*Model_Base!$U$27)/(1+$A$62)^10+(Model_Base!$U$31*D$60-Model_Base!$U$33-$A$62*Model_Base!$U$27)*(1+Model_Base!$B$9)/($A$62-Model_Base!$B$9)/(1+$A$62)^10)/Model_Base!$L$50)</f>
        <v/>
      </c>
      <c r="E62" s="106">
        <f>((Model_Base!$L$48+SUMPRODUCT((Model_Base!$L$40:$T$40-$A$62*Model_Base!$L$27:$T$27)/(1+$A$62)^{1,2,3,4,5,6,7,8,9})+(Model_Base!$U$31*E$60-Model_Base!$U$33-$A$62*Model_Base!$U$27)/(1+$A$62)^10+(Model_Base!$U$31*E$60-Model_Base!$U$33-$A$62*Model_Base!$U$27)*(1+Model_Base!$B$9)/($A$62-Model_Base!$B$9)/(1+$A$62)^10)/Model_Base!$L$50)</f>
        <v/>
      </c>
      <c r="F62" s="6">
        <f>((Model_Base!$L$48+SUMPRODUCT((Model_Base!$L$40:$T$40-$A$62*Model_Base!$L$27:$T$27)/(1+$A$62)^{1,2,3,4,5,6,7,8,9})+(Model_Base!$U$31*F$60-Model_Base!$U$33-$A$62*Model_Base!$U$27)/(1+$A$62)^10+(Model_Base!$U$31*F$60-Model_Base!$U$33-$A$62*Model_Base!$U$27)*(1+Model_Base!$B$9)/($A$62-Model_Base!$B$9)/(1+$A$62)^10)/Model_Base!$L$50)</f>
        <v/>
      </c>
    </row>
    <row r="63">
      <c r="A63" s="111">
        <f>Model_Base!$B$5+0.0</f>
        <v/>
      </c>
      <c r="B63" s="106">
        <f>((Model_Base!$L$48+SUMPRODUCT((Model_Base!$L$40:$T$40-$A$63*Model_Base!$L$27:$T$27)/(1+$A$63)^{1,2,3,4,5,6,7,8,9})+(Model_Base!$U$31*B$60-Model_Base!$U$33-$A$63*Model_Base!$U$27)/(1+$A$63)^10+(Model_Base!$U$31*B$60-Model_Base!$U$33-$A$63*Model_Base!$U$27)*(1+Model_Base!$B$9)/($A$63-Model_Base!$B$9)/(1+$A$63)^10)/Model_Base!$L$50)</f>
        <v/>
      </c>
      <c r="C63" s="106">
        <f>((Model_Base!$L$48+SUMPRODUCT((Model_Base!$L$40:$T$40-$A$63*Model_Base!$L$27:$T$27)/(1+$A$63)^{1,2,3,4,5,6,7,8,9})+(Model_Base!$U$31*C$60-Model_Base!$U$33-$A$63*Model_Base!$U$27)/(1+$A$63)^10+(Model_Base!$U$31*C$60-Model_Base!$U$33-$A$63*Model_Base!$U$27)*(1+Model_Base!$B$9)/($A$63-Model_Base!$B$9)/(1+$A$63)^10)/Model_Base!$L$50)</f>
        <v/>
      </c>
      <c r="D63" s="107">
        <f>((Model_Base!$L$48+SUMPRODUCT((Model_Base!$L$40:$T$40-$A$63*Model_Base!$L$27:$T$27)/(1+$A$63)^{1,2,3,4,5,6,7,8,9})+(Model_Base!$U$31*D$60-Model_Base!$U$33-$A$63*Model_Base!$U$27)/(1+$A$63)^10+(Model_Base!$U$31*D$60-Model_Base!$U$33-$A$63*Model_Base!$U$27)*(1+Model_Base!$B$9)/($A$63-Model_Base!$B$9)/(1+$A$63)^10)/Model_Base!$L$50)</f>
        <v/>
      </c>
      <c r="E63" s="106">
        <f>((Model_Base!$L$48+SUMPRODUCT((Model_Base!$L$40:$T$40-$A$63*Model_Base!$L$27:$T$27)/(1+$A$63)^{1,2,3,4,5,6,7,8,9})+(Model_Base!$U$31*E$60-Model_Base!$U$33-$A$63*Model_Base!$U$27)/(1+$A$63)^10+(Model_Base!$U$31*E$60-Model_Base!$U$33-$A$63*Model_Base!$U$27)*(1+Model_Base!$B$9)/($A$63-Model_Base!$B$9)/(1+$A$63)^10)/Model_Base!$L$50)</f>
        <v/>
      </c>
      <c r="F63" s="6">
        <f>((Model_Base!$L$48+SUMPRODUCT((Model_Base!$L$40:$T$40-$A$63*Model_Base!$L$27:$T$27)/(1+$A$63)^{1,2,3,4,5,6,7,8,9})+(Model_Base!$U$31*F$60-Model_Base!$U$33-$A$63*Model_Base!$U$27)/(1+$A$63)^10+(Model_Base!$U$31*F$60-Model_Base!$U$33-$A$63*Model_Base!$U$27)*(1+Model_Base!$B$9)/($A$63-Model_Base!$B$9)/(1+$A$63)^10)/Model_Base!$L$50)</f>
        <v/>
      </c>
    </row>
    <row r="64">
      <c r="A64" s="111">
        <f>Model_Base!$B$5+0.01</f>
        <v/>
      </c>
      <c r="B64" s="106">
        <f>((Model_Base!$L$48+SUMPRODUCT((Model_Base!$L$40:$T$40-$A$64*Model_Base!$L$27:$T$27)/(1+$A$64)^{1,2,3,4,5,6,7,8,9})+(Model_Base!$U$31*B$60-Model_Base!$U$33-$A$64*Model_Base!$U$27)/(1+$A$64)^10+(Model_Base!$U$31*B$60-Model_Base!$U$33-$A$64*Model_Base!$U$27)*(1+Model_Base!$B$9)/($A$64-Model_Base!$B$9)/(1+$A$64)^10)/Model_Base!$L$50)</f>
        <v/>
      </c>
      <c r="C64" s="106">
        <f>((Model_Base!$L$48+SUMPRODUCT((Model_Base!$L$40:$T$40-$A$64*Model_Base!$L$27:$T$27)/(1+$A$64)^{1,2,3,4,5,6,7,8,9})+(Model_Base!$U$31*C$60-Model_Base!$U$33-$A$64*Model_Base!$U$27)/(1+$A$64)^10+(Model_Base!$U$31*C$60-Model_Base!$U$33-$A$64*Model_Base!$U$27)*(1+Model_Base!$B$9)/($A$64-Model_Base!$B$9)/(1+$A$64)^10)/Model_Base!$L$50)</f>
        <v/>
      </c>
      <c r="D64" s="106">
        <f>((Model_Base!$L$48+SUMPRODUCT((Model_Base!$L$40:$T$40-$A$64*Model_Base!$L$27:$T$27)/(1+$A$64)^{1,2,3,4,5,6,7,8,9})+(Model_Base!$U$31*D$60-Model_Base!$U$33-$A$64*Model_Base!$U$27)/(1+$A$64)^10+(Model_Base!$U$31*D$60-Model_Base!$U$33-$A$64*Model_Base!$U$27)*(1+Model_Base!$B$9)/($A$64-Model_Base!$B$9)/(1+$A$64)^10)/Model_Base!$L$50)</f>
        <v/>
      </c>
      <c r="E64" s="106">
        <f>((Model_Base!$L$48+SUMPRODUCT((Model_Base!$L$40:$T$40-$A$64*Model_Base!$L$27:$T$27)/(1+$A$64)^{1,2,3,4,5,6,7,8,9})+(Model_Base!$U$31*E$60-Model_Base!$U$33-$A$64*Model_Base!$U$27)/(1+$A$64)^10+(Model_Base!$U$31*E$60-Model_Base!$U$33-$A$64*Model_Base!$U$27)*(1+Model_Base!$B$9)/($A$64-Model_Base!$B$9)/(1+$A$64)^10)/Model_Base!$L$50)</f>
        <v/>
      </c>
      <c r="F64" s="6">
        <f>((Model_Base!$L$48+SUMPRODUCT((Model_Base!$L$40:$T$40-$A$64*Model_Base!$L$27:$T$27)/(1+$A$64)^{1,2,3,4,5,6,7,8,9})+(Model_Base!$U$31*F$60-Model_Base!$U$33-$A$64*Model_Base!$U$27)/(1+$A$64)^10+(Model_Base!$U$31*F$60-Model_Base!$U$33-$A$64*Model_Base!$U$27)*(1+Model_Base!$B$9)/($A$64-Model_Base!$B$9)/(1+$A$64)^10)/Model_Base!$L$50)</f>
        <v/>
      </c>
    </row>
    <row r="65">
      <c r="A65" s="111">
        <f>Model_Base!$B$5+0.02</f>
        <v/>
      </c>
      <c r="B65" s="106">
        <f>((Model_Base!$L$48+SUMPRODUCT((Model_Base!$L$40:$T$40-$A$65*Model_Base!$L$27:$T$27)/(1+$A$65)^{1,2,3,4,5,6,7,8,9})+(Model_Base!$U$31*B$60-Model_Base!$U$33-$A$65*Model_Base!$U$27)/(1+$A$65)^10+(Model_Base!$U$31*B$60-Model_Base!$U$33-$A$65*Model_Base!$U$27)*(1+Model_Base!$B$9)/($A$65-Model_Base!$B$9)/(1+$A$65)^10)/Model_Base!$L$50)</f>
        <v/>
      </c>
      <c r="C65" s="106">
        <f>((Model_Base!$L$48+SUMPRODUCT((Model_Base!$L$40:$T$40-$A$65*Model_Base!$L$27:$T$27)/(1+$A$65)^{1,2,3,4,5,6,7,8,9})+(Model_Base!$U$31*C$60-Model_Base!$U$33-$A$65*Model_Base!$U$27)/(1+$A$65)^10+(Model_Base!$U$31*C$60-Model_Base!$U$33-$A$65*Model_Base!$U$27)*(1+Model_Base!$B$9)/($A$65-Model_Base!$B$9)/(1+$A$65)^10)/Model_Base!$L$50)</f>
        <v/>
      </c>
      <c r="D65" s="106">
        <f>((Model_Base!$L$48+SUMPRODUCT((Model_Base!$L$40:$T$40-$A$65*Model_Base!$L$27:$T$27)/(1+$A$65)^{1,2,3,4,5,6,7,8,9})+(Model_Base!$U$31*D$60-Model_Base!$U$33-$A$65*Model_Base!$U$27)/(1+$A$65)^10+(Model_Base!$U$31*D$60-Model_Base!$U$33-$A$65*Model_Base!$U$27)*(1+Model_Base!$B$9)/($A$65-Model_Base!$B$9)/(1+$A$65)^10)/Model_Base!$L$50)</f>
        <v/>
      </c>
      <c r="E65" s="106">
        <f>((Model_Base!$L$48+SUMPRODUCT((Model_Base!$L$40:$T$40-$A$65*Model_Base!$L$27:$T$27)/(1+$A$65)^{1,2,3,4,5,6,7,8,9})+(Model_Base!$U$31*E$60-Model_Base!$U$33-$A$65*Model_Base!$U$27)/(1+$A$65)^10+(Model_Base!$U$31*E$60-Model_Base!$U$33-$A$65*Model_Base!$U$27)*(1+Model_Base!$B$9)/($A$65-Model_Base!$B$9)/(1+$A$65)^10)/Model_Base!$L$50)</f>
        <v/>
      </c>
      <c r="F65" s="6">
        <f>((Model_Base!$L$48+SUMPRODUCT((Model_Base!$L$40:$T$40-$A$65*Model_Base!$L$27:$T$27)/(1+$A$65)^{1,2,3,4,5,6,7,8,9})+(Model_Base!$U$31*F$60-Model_Base!$U$33-$A$65*Model_Base!$U$27)/(1+$A$65)^10+(Model_Base!$U$31*F$60-Model_Base!$U$33-$A$65*Model_Base!$U$27)*(1+Model_Base!$B$9)/($A$65-Model_Base!$B$9)/(1+$A$65)^10)/Model_Base!$L$50)</f>
        <v/>
      </c>
    </row>
    <row r="66">
      <c r="A66" s="99" t="n"/>
      <c r="B66" s="99" t="n"/>
      <c r="C66" s="99" t="n"/>
      <c r="D66" s="99" t="n"/>
      <c r="E66" s="99" t="n"/>
    </row>
    <row r="67">
      <c r="A67" s="100" t="inlineStr">
        <is>
          <t>Live grids: each cell recomputes the Base-case IVPS at that Ke/parameter pair (green = current Base, equals Scenario_Summary IVPS). Valuation is most sensitive to Ke, then terminal margin/asset-intensity; terminal growth is muted (RIM terminal is abnormal earnings, not free cash flow).</t>
        </is>
      </c>
    </row>
  </sheetData>
  <mergeCells count="2">
    <mergeCell ref="A67:F67"/>
    <mergeCell ref="A49:D49"/>
  </mergeCells>
  <conditionalFormatting sqref="B53:F57">
    <cfRule type="colorScale" priority="1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  <cfRule type="colorScale" priority="3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  <cfRule type="colorScale" priority="5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</conditionalFormatting>
  <conditionalFormatting sqref="B61:F65">
    <cfRule type="colorScale" priority="2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  <cfRule type="colorScale" priority="4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  <cfRule type="colorScale" priority="6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40" customWidth="1" style="92" min="1" max="1"/>
    <col width="12" customWidth="1" style="92" min="2" max="3"/>
    <col width="12" customWidth="1" style="92" min="3" max="3"/>
    <col width="10" customWidth="1" style="92" min="4" max="5"/>
    <col width="10" customWidth="1" style="92" min="5" max="5"/>
    <col width="52" customWidth="1" style="92" min="6" max="6"/>
    <col width="6" customWidth="1" style="92" min="7" max="7"/>
  </cols>
  <sheetData>
    <row r="1" ht="19" customHeight="1" s="92">
      <c r="A1" s="35" t="inlineStr">
        <is>
          <t>Alphabet (GOOGL) — Implied Cost of Capital (ICC)</t>
        </is>
      </c>
    </row>
    <row r="2">
      <c r="A2" s="11" t="inlineStr">
        <is>
          <t>Live ICC: the discount rate at which each scenario's IVPS equals the price in B5. Reactive — recomputes when the price or any model input changes. Model inputs ILLUSTRATIVE; not analysis.</t>
        </is>
      </c>
    </row>
    <row r="3"/>
    <row r="4">
      <c r="A4" s="14" t="inlineStr">
        <is>
          <t>MARKET</t>
        </is>
      </c>
    </row>
    <row r="5">
      <c r="A5" t="inlineStr">
        <is>
          <t>Current price (edit here — Scenario_Summary links to this cell)</t>
        </is>
      </c>
      <c r="B5" s="36" t="n">
        <v>363.6</v>
      </c>
    </row>
    <row r="6">
      <c r="A6" t="inlineStr">
        <is>
          <t>As of</t>
        </is>
      </c>
      <c r="B6" t="inlineStr">
        <is>
          <t>2026-06-11</t>
        </is>
      </c>
    </row>
    <row r="7">
      <c r="A7" t="inlineStr">
        <is>
          <t>Diluted shares (M)</t>
        </is>
      </c>
      <c r="B7">
        <f>Model_Base!L50</f>
        <v/>
      </c>
    </row>
    <row r="8">
      <c r="A8" t="inlineStr">
        <is>
          <t>Market cap ($M)</t>
        </is>
      </c>
      <c r="B8" s="5">
        <f>B5*B7</f>
        <v/>
      </c>
    </row>
    <row r="9"/>
    <row r="10">
      <c r="A10" s="14" t="inlineStr">
        <is>
          <t>MODEL VS PRICE</t>
        </is>
      </c>
    </row>
    <row r="11">
      <c r="A11" s="8" t="inlineStr">
        <is>
          <t>Scenario</t>
        </is>
      </c>
      <c r="B11" s="8" t="inlineStr">
        <is>
          <t>IVPS</t>
        </is>
      </c>
      <c r="C11" s="8" t="inlineStr">
        <is>
          <t>vs. price</t>
        </is>
      </c>
    </row>
    <row r="12">
      <c r="A12" t="inlineStr">
        <is>
          <t>Bear</t>
        </is>
      </c>
      <c r="B12" s="6">
        <f>Model_Bear!L51</f>
        <v/>
      </c>
      <c r="C12" s="1">
        <f>B12/$B$5-1</f>
        <v/>
      </c>
    </row>
    <row r="13">
      <c r="A13" t="inlineStr">
        <is>
          <t>Base</t>
        </is>
      </c>
      <c r="B13" s="6">
        <f>Model_Base!L51</f>
        <v/>
      </c>
      <c r="C13" s="1">
        <f>B13/$B$5-1</f>
        <v/>
      </c>
    </row>
    <row r="14">
      <c r="A14" t="inlineStr">
        <is>
          <t>Bull</t>
        </is>
      </c>
      <c r="B14" s="6">
        <f>Model_Bull!L51</f>
        <v/>
      </c>
      <c r="C14" s="1">
        <f>B14/$B$5-1</f>
        <v/>
      </c>
    </row>
    <row r="15">
      <c r="A15" t="inlineStr">
        <is>
          <t>Probability-weighted</t>
        </is>
      </c>
      <c r="B15" s="34">
        <f>SUMPRODUCT(Scenario_Summary!B5:D5,B12:B14)</f>
        <v/>
      </c>
      <c r="C15" s="37">
        <f>B15/$B$5-1</f>
        <v/>
      </c>
    </row>
    <row r="16"/>
    <row r="17">
      <c r="A17" s="14" t="n"/>
    </row>
    <row r="18"/>
    <row r="19"/>
    <row r="20"/>
    <row r="21"/>
    <row r="22"/>
    <row r="23"/>
    <row r="24"/>
    <row r="25"/>
    <row r="26">
      <c r="A26" s="14" t="n"/>
    </row>
    <row r="27">
      <c r="A27" s="12" t="n"/>
      <c r="B27" s="12" t="n"/>
      <c r="C27" s="12" t="n"/>
      <c r="D27" s="12" t="n"/>
      <c r="E27" s="12" t="n"/>
      <c r="F27" s="12" t="n"/>
    </row>
    <row r="28" ht="110" customHeight="1" s="92">
      <c r="A28" s="94" t="n"/>
      <c r="B28" s="94" t="n"/>
      <c r="C28" s="94" t="n"/>
      <c r="D28" s="94" t="n"/>
      <c r="E28" s="94" t="n"/>
      <c r="F28" s="94" t="n"/>
    </row>
    <row r="29" ht="110" customHeight="1" s="92">
      <c r="A29" s="94" t="n"/>
      <c r="B29" s="94" t="n"/>
      <c r="C29" s="94" t="n"/>
      <c r="D29" s="94" t="n"/>
      <c r="E29" s="94" t="n"/>
      <c r="F29" s="94" t="n"/>
    </row>
    <row r="30" ht="110" customHeight="1" s="92">
      <c r="A30" s="94" t="n"/>
      <c r="B30" s="94" t="n"/>
      <c r="C30" s="94" t="n"/>
      <c r="D30" s="94" t="n"/>
      <c r="E30" s="94" t="n"/>
      <c r="F30" s="94" t="n"/>
    </row>
    <row r="31" ht="110" customHeight="1" s="92">
      <c r="A31" s="94" t="n"/>
      <c r="B31" s="94" t="n"/>
      <c r="C31" s="94" t="n"/>
      <c r="D31" s="94" t="n"/>
      <c r="E31" s="94" t="n"/>
      <c r="F31" s="94" t="n"/>
    </row>
    <row r="32" ht="110" customHeight="1" s="92">
      <c r="A32" s="94" t="n"/>
      <c r="B32" s="94" t="n"/>
      <c r="C32" s="94" t="n"/>
      <c r="D32" s="94" t="n"/>
      <c r="E32" s="94" t="n"/>
      <c r="F32" s="94" t="n"/>
    </row>
    <row r="33"/>
    <row r="34">
      <c r="A34" s="14" t="n"/>
    </row>
    <row r="35">
      <c r="A35" s="94" t="n"/>
    </row>
    <row r="36"/>
    <row r="37"/>
    <row r="38"/>
    <row r="39" ht="16" customHeight="1" s="92">
      <c r="A39" s="113" t="inlineStr">
        <is>
          <t>IMPLIED RETURNS (ICC) — live (reactive to the price cell)</t>
        </is>
      </c>
    </row>
    <row r="40">
      <c r="A40" s="114" t="inlineStr">
        <is>
          <t>ICC = the discount rate at which each scenario’s IVPS equals the price in B5. Recomputes when you change the price or any model assumption (interpolated from the grid below; no macros). Excess = ICC − Ke: positive ⇒ the price implies a return above our hurdle (cheap), negative ⇒ below it.</t>
        </is>
      </c>
    </row>
    <row r="41"/>
    <row r="42">
      <c r="A42" s="115" t="inlineStr">
        <is>
          <t>Scenario</t>
        </is>
      </c>
      <c r="B42" s="115" t="inlineStr">
        <is>
          <t>IVPS</t>
        </is>
      </c>
      <c r="C42" s="115" t="inlineStr">
        <is>
          <t>Ke (hurdle)</t>
        </is>
      </c>
      <c r="D42" s="115" t="inlineStr">
        <is>
          <t>ICC</t>
        </is>
      </c>
      <c r="E42" s="115" t="inlineStr">
        <is>
          <t>ICC − Ke</t>
        </is>
      </c>
      <c r="F42" s="115" t="inlineStr">
        <is>
          <t>Read</t>
        </is>
      </c>
    </row>
    <row r="43" ht="16" customHeight="1" s="92">
      <c r="A43" t="inlineStr">
        <is>
          <t>Bear</t>
        </is>
      </c>
      <c r="B43" s="6">
        <f>Model_Bear!$L$51</f>
        <v/>
      </c>
      <c r="C43" s="25">
        <f>Model_Bear!$B$5</f>
        <v/>
      </c>
      <c r="D43" s="25">
        <f>IFERROR(INDEX($H$54:$H$158,MATCH($B$5,$I$54:$I$158,1))+($B$5-INDEX($I$54:$I$158,MATCH($B$5,$I$54:$I$158,1)))/(INDEX($I$54:$I$158,MATCH($B$5,$I$54:$I$158,1)+1)-INDEX($I$54:$I$158,MATCH($B$5,$I$54:$I$158,1)))*(INDEX($H$54:$H$158,MATCH($B$5,$I$54:$I$158,1)+1)-INDEX($H$54:$H$158,MATCH($B$5,$I$54:$I$158,1))),NA())</f>
        <v/>
      </c>
      <c r="E43" s="25">
        <f>IF(ISNA(D43),"",D43-C43)</f>
        <v/>
      </c>
      <c r="F43" s="94">
        <f>IF(ISNA(D43),IF($B$5&gt;MAX($I$54:$I$158),"price above scenario — overvalued, no positive-excess solution","price below grid (ICC&gt;30%)"),IF(E43&gt;0,"undervalued — price implies return above hurdle","overvalued — price implies return below hurdle"))</f>
        <v/>
      </c>
    </row>
    <row r="44" ht="16" customHeight="1" s="92">
      <c r="A44" t="inlineStr">
        <is>
          <t>Base</t>
        </is>
      </c>
      <c r="B44" s="6">
        <f>Model_Base!$L$51</f>
        <v/>
      </c>
      <c r="C44" s="25">
        <f>Model_Base!$B$5</f>
        <v/>
      </c>
      <c r="D44" s="25">
        <f>IFERROR(INDEX($J$54:$J$158,MATCH($B$5,$K$54:$K$158,1))+($B$5-INDEX($K$54:$K$158,MATCH($B$5,$K$54:$K$158,1)))/(INDEX($K$54:$K$158,MATCH($B$5,$K$54:$K$158,1)+1)-INDEX($K$54:$K$158,MATCH($B$5,$K$54:$K$158,1)))*(INDEX($J$54:$J$158,MATCH($B$5,$K$54:$K$158,1)+1)-INDEX($J$54:$J$158,MATCH($B$5,$K$54:$K$158,1))),NA())</f>
        <v/>
      </c>
      <c r="E44" s="25">
        <f>IF(ISNA(D44),"",D44-C44)</f>
        <v/>
      </c>
      <c r="F44" s="94">
        <f>IF(ISNA(D44),IF($B$5&gt;MAX($K$54:$K$158),"price above scenario — overvalued, no positive-excess solution","price below grid (ICC&gt;30%)"),IF(E44&gt;0,"undervalued — price implies return above hurdle","overvalued — price implies return below hurdle"))</f>
        <v/>
      </c>
    </row>
    <row r="45" ht="16" customHeight="1" s="92">
      <c r="A45" t="inlineStr">
        <is>
          <t>Bull</t>
        </is>
      </c>
      <c r="B45" s="6">
        <f>Model_Bull!$L$51</f>
        <v/>
      </c>
      <c r="C45" s="25">
        <f>Model_Bull!$B$5</f>
        <v/>
      </c>
      <c r="D45" s="25">
        <f>IFERROR(INDEX($L$54:$L$158,MATCH($B$5,$M$54:$M$158,1))+($B$5-INDEX($M$54:$M$158,MATCH($B$5,$M$54:$M$158,1)))/(INDEX($M$54:$M$158,MATCH($B$5,$M$54:$M$158,1)+1)-INDEX($M$54:$M$158,MATCH($B$5,$M$54:$M$158,1)))*(INDEX($L$54:$L$158,MATCH($B$5,$M$54:$M$158,1)+1)-INDEX($L$54:$L$158,MATCH($B$5,$M$54:$M$158,1))),NA())</f>
        <v/>
      </c>
      <c r="E45" s="25">
        <f>IF(ISNA(D45),"",D45-C45)</f>
        <v/>
      </c>
      <c r="F45" s="94">
        <f>IF(ISNA(D45),IF($B$5&gt;MAX($M$54:$M$158),"price above scenario — overvalued, no positive-excess solution","price below grid (ICC&gt;30%)"),IF(E45&gt;0,"undervalued — price implies return above hurdle","overvalued — price implies return below hurdle"))</f>
        <v/>
      </c>
    </row>
    <row r="46">
      <c r="A46" s="116" t="inlineStr">
        <is>
          <t>Probability-weighted</t>
        </is>
      </c>
      <c r="B46" s="6">
        <f>SUMPRODUCT(Scenario_Summary!$B$5:$D$5,B43:B45)</f>
        <v/>
      </c>
      <c r="C46" s="25">
        <f>SUMPRODUCT(Scenario_Summary!$B$5:$D$5,C43:C45)</f>
        <v/>
      </c>
      <c r="D46" s="117">
        <f>SUMPRODUCT(Scenario_Summary!$B$5:$D$5,D43:D45)</f>
        <v/>
      </c>
      <c r="E46" s="117">
        <f>D46-C46</f>
        <v/>
      </c>
      <c r="F46" s="116">
        <f>IF(E46&gt;0.01,"LEAN BUY",IF(E46&lt;-0.01,"AVOID","FAIR"))</f>
        <v/>
      </c>
    </row>
    <row r="47"/>
    <row r="48">
      <c r="A48" s="116" t="inlineStr">
        <is>
          <t>Ranking excess (weighted ICC − Ke) — the universe sort key:</t>
        </is>
      </c>
      <c r="D48" s="117">
        <f>E46</f>
        <v/>
      </c>
    </row>
    <row r="49">
      <c r="A49" t="inlineStr">
        <is>
          <t>Price inside the scenario hull?</t>
        </is>
      </c>
      <c r="D49">
        <f>IF($B$5&lt;=MAX(B43:B45),"yes","NO — above every scenario IVPS (avoid)")</f>
        <v/>
      </c>
    </row>
    <row r="50"/>
    <row r="51">
      <c r="A51" s="118" t="inlineStr">
        <is>
          <t>IVPS-by-discount-rate grid — helper for the interpolation above (do not edit)</t>
        </is>
      </c>
    </row>
    <row r="52"/>
    <row r="53">
      <c r="H53" s="116" t="inlineStr">
        <is>
          <t>r (Bear)</t>
        </is>
      </c>
      <c r="I53" s="116" t="inlineStr">
        <is>
          <t>IVPS (Bear)</t>
        </is>
      </c>
      <c r="J53" s="116" t="inlineStr">
        <is>
          <t>r (Base)</t>
        </is>
      </c>
      <c r="K53" s="116" t="inlineStr">
        <is>
          <t>IVPS (Base)</t>
        </is>
      </c>
      <c r="L53" s="116" t="inlineStr">
        <is>
          <t>r (Bull)</t>
        </is>
      </c>
      <c r="M53" s="116" t="inlineStr">
        <is>
          <t>IVPS (Bull)</t>
        </is>
      </c>
    </row>
    <row r="54">
      <c r="H54" s="25" t="n">
        <v>0.3</v>
      </c>
      <c r="I54" s="6">
        <f>(Model_Bear!$L$48+SUMPRODUCT((Model_Bear!$L$40:$U$40-$H54*Model_Bear!$L$27:$U$27)/(1+$H54)^{1,2,3,4,5,6,7,8,9,10})+(Model_Bear!$U$40-$H54*Model_Bear!$U$27)*(1+0.035)/($H54-0.035)/(1+$H54)^10)/Model_Bear!$L$50</f>
        <v/>
      </c>
      <c r="J54" s="25" t="n">
        <v>0.3</v>
      </c>
      <c r="K54" s="6">
        <f>(Model_Base!$L$48+SUMPRODUCT((Model_Base!$L$40:$U$40-$J54*Model_Base!$L$27:$U$27)/(1+$J54)^{1,2,3,4,5,6,7,8,9,10})+(Model_Base!$U$40-$J54*Model_Base!$U$27)*(1+0.04)/($J54-0.04)/(1+$J54)^10)/Model_Base!$L$50</f>
        <v/>
      </c>
      <c r="L54" s="25" t="n">
        <v>0.3</v>
      </c>
      <c r="M54" s="6">
        <f>(Model_Bull!$L$48+SUMPRODUCT((Model_Bull!$L$40:$U$40-$L54*Model_Bull!$L$27:$U$27)/(1+$L54)^{1,2,3,4,5,6,7,8,9,10})+(Model_Bull!$U$40-$L54*Model_Bull!$U$27)*(1+0.06)/($L54-0.06)/(1+$L54)^10)/Model_Bull!$L$50</f>
        <v/>
      </c>
    </row>
    <row r="55">
      <c r="H55" s="25" t="n">
        <v>0.29749</v>
      </c>
      <c r="I55" s="6">
        <f>(Model_Bear!$L$48+SUMPRODUCT((Model_Bear!$L$40:$U$40-$H55*Model_Bear!$L$27:$U$27)/(1+$H55)^{1,2,3,4,5,6,7,8,9,10})+(Model_Bear!$U$40-$H55*Model_Bear!$U$27)*(1+0.035)/($H55-0.035)/(1+$H55)^10)/Model_Bear!$L$50</f>
        <v/>
      </c>
      <c r="J55" s="25" t="n">
        <v>0.297538</v>
      </c>
      <c r="K55" s="6">
        <f>(Model_Base!$L$48+SUMPRODUCT((Model_Base!$L$40:$U$40-$J55*Model_Base!$L$27:$U$27)/(1+$J55)^{1,2,3,4,5,6,7,8,9,10})+(Model_Base!$U$40-$J55*Model_Base!$U$27)*(1+0.04)/($J55-0.04)/(1+$J55)^10)/Model_Base!$L$50</f>
        <v/>
      </c>
      <c r="L55" s="25" t="n">
        <v>0.297731</v>
      </c>
      <c r="M55" s="6">
        <f>(Model_Bull!$L$48+SUMPRODUCT((Model_Bull!$L$40:$U$40-$L55*Model_Bull!$L$27:$U$27)/(1+$L55)^{1,2,3,4,5,6,7,8,9,10})+(Model_Bull!$U$40-$L55*Model_Bull!$U$27)*(1+0.06)/($L55-0.06)/(1+$L55)^10)/Model_Bull!$L$50</f>
        <v/>
      </c>
    </row>
    <row r="56">
      <c r="H56" s="25" t="n">
        <v>0.294981</v>
      </c>
      <c r="I56" s="6">
        <f>(Model_Bear!$L$48+SUMPRODUCT((Model_Bear!$L$40:$U$40-$H56*Model_Bear!$L$27:$U$27)/(1+$H56)^{1,2,3,4,5,6,7,8,9,10})+(Model_Bear!$U$40-$H56*Model_Bear!$U$27)*(1+0.035)/($H56-0.035)/(1+$H56)^10)/Model_Bear!$L$50</f>
        <v/>
      </c>
      <c r="J56" s="25" t="n">
        <v>0.295077</v>
      </c>
      <c r="K56" s="6">
        <f>(Model_Base!$L$48+SUMPRODUCT((Model_Base!$L$40:$U$40-$J56*Model_Base!$L$27:$U$27)/(1+$J56)^{1,2,3,4,5,6,7,8,9,10})+(Model_Base!$U$40-$J56*Model_Base!$U$27)*(1+0.04)/($J56-0.04)/(1+$J56)^10)/Model_Base!$L$50</f>
        <v/>
      </c>
      <c r="L56" s="25" t="n">
        <v>0.295462</v>
      </c>
      <c r="M56" s="6">
        <f>(Model_Bull!$L$48+SUMPRODUCT((Model_Bull!$L$40:$U$40-$L56*Model_Bull!$L$27:$U$27)/(1+$L56)^{1,2,3,4,5,6,7,8,9,10})+(Model_Bull!$U$40-$L56*Model_Bull!$U$27)*(1+0.06)/($L56-0.06)/(1+$L56)^10)/Model_Bull!$L$50</f>
        <v/>
      </c>
    </row>
    <row r="57">
      <c r="H57" s="25" t="n">
        <v>0.292471</v>
      </c>
      <c r="I57" s="6">
        <f>(Model_Bear!$L$48+SUMPRODUCT((Model_Bear!$L$40:$U$40-$H57*Model_Bear!$L$27:$U$27)/(1+$H57)^{1,2,3,4,5,6,7,8,9,10})+(Model_Bear!$U$40-$H57*Model_Bear!$U$27)*(1+0.035)/($H57-0.035)/(1+$H57)^10)/Model_Bear!$L$50</f>
        <v/>
      </c>
      <c r="J57" s="25" t="n">
        <v>0.292615</v>
      </c>
      <c r="K57" s="6">
        <f>(Model_Base!$L$48+SUMPRODUCT((Model_Base!$L$40:$U$40-$J57*Model_Base!$L$27:$U$27)/(1+$J57)^{1,2,3,4,5,6,7,8,9,10})+(Model_Base!$U$40-$J57*Model_Base!$U$27)*(1+0.04)/($J57-0.04)/(1+$J57)^10)/Model_Base!$L$50</f>
        <v/>
      </c>
      <c r="L57" s="25" t="n">
        <v>0.293192</v>
      </c>
      <c r="M57" s="6">
        <f>(Model_Bull!$L$48+SUMPRODUCT((Model_Bull!$L$40:$U$40-$L57*Model_Bull!$L$27:$U$27)/(1+$L57)^{1,2,3,4,5,6,7,8,9,10})+(Model_Bull!$U$40-$L57*Model_Bull!$U$27)*(1+0.06)/($L57-0.06)/(1+$L57)^10)/Model_Bull!$L$50</f>
        <v/>
      </c>
    </row>
    <row r="58">
      <c r="H58" s="25" t="n">
        <v>0.289962</v>
      </c>
      <c r="I58" s="6">
        <f>(Model_Bear!$L$48+SUMPRODUCT((Model_Bear!$L$40:$U$40-$H58*Model_Bear!$L$27:$U$27)/(1+$H58)^{1,2,3,4,5,6,7,8,9,10})+(Model_Bear!$U$40-$H58*Model_Bear!$U$27)*(1+0.035)/($H58-0.035)/(1+$H58)^10)/Model_Bear!$L$50</f>
        <v/>
      </c>
      <c r="J58" s="25" t="n">
        <v>0.290154</v>
      </c>
      <c r="K58" s="6">
        <f>(Model_Base!$L$48+SUMPRODUCT((Model_Base!$L$40:$U$40-$J58*Model_Base!$L$27:$U$27)/(1+$J58)^{1,2,3,4,5,6,7,8,9,10})+(Model_Base!$U$40-$J58*Model_Base!$U$27)*(1+0.04)/($J58-0.04)/(1+$J58)^10)/Model_Base!$L$50</f>
        <v/>
      </c>
      <c r="L58" s="25" t="n">
        <v>0.290923</v>
      </c>
      <c r="M58" s="6">
        <f>(Model_Bull!$L$48+SUMPRODUCT((Model_Bull!$L$40:$U$40-$L58*Model_Bull!$L$27:$U$27)/(1+$L58)^{1,2,3,4,5,6,7,8,9,10})+(Model_Bull!$U$40-$L58*Model_Bull!$U$27)*(1+0.06)/($L58-0.06)/(1+$L58)^10)/Model_Bull!$L$50</f>
        <v/>
      </c>
    </row>
    <row r="59">
      <c r="H59" s="25" t="n">
        <v>0.287452</v>
      </c>
      <c r="I59" s="6">
        <f>(Model_Bear!$L$48+SUMPRODUCT((Model_Bear!$L$40:$U$40-$H59*Model_Bear!$L$27:$U$27)/(1+$H59)^{1,2,3,4,5,6,7,8,9,10})+(Model_Bear!$U$40-$H59*Model_Bear!$U$27)*(1+0.035)/($H59-0.035)/(1+$H59)^10)/Model_Bear!$L$50</f>
        <v/>
      </c>
      <c r="J59" s="25" t="n">
        <v>0.287692</v>
      </c>
      <c r="K59" s="6">
        <f>(Model_Base!$L$48+SUMPRODUCT((Model_Base!$L$40:$U$40-$J59*Model_Base!$L$27:$U$27)/(1+$J59)^{1,2,3,4,5,6,7,8,9,10})+(Model_Base!$U$40-$J59*Model_Base!$U$27)*(1+0.04)/($J59-0.04)/(1+$J59)^10)/Model_Base!$L$50</f>
        <v/>
      </c>
      <c r="L59" s="25" t="n">
        <v>0.288654</v>
      </c>
      <c r="M59" s="6">
        <f>(Model_Bull!$L$48+SUMPRODUCT((Model_Bull!$L$40:$U$40-$L59*Model_Bull!$L$27:$U$27)/(1+$L59)^{1,2,3,4,5,6,7,8,9,10})+(Model_Bull!$U$40-$L59*Model_Bull!$U$27)*(1+0.06)/($L59-0.06)/(1+$L59)^10)/Model_Bull!$L$50</f>
        <v/>
      </c>
    </row>
    <row r="60">
      <c r="H60" s="25" t="n">
        <v>0.284942</v>
      </c>
      <c r="I60" s="6">
        <f>(Model_Bear!$L$48+SUMPRODUCT((Model_Bear!$L$40:$U$40-$H60*Model_Bear!$L$27:$U$27)/(1+$H60)^{1,2,3,4,5,6,7,8,9,10})+(Model_Bear!$U$40-$H60*Model_Bear!$U$27)*(1+0.035)/($H60-0.035)/(1+$H60)^10)/Model_Bear!$L$50</f>
        <v/>
      </c>
      <c r="J60" s="25" t="n">
        <v>0.285231</v>
      </c>
      <c r="K60" s="6">
        <f>(Model_Base!$L$48+SUMPRODUCT((Model_Base!$L$40:$U$40-$J60*Model_Base!$L$27:$U$27)/(1+$J60)^{1,2,3,4,5,6,7,8,9,10})+(Model_Base!$U$40-$J60*Model_Base!$U$27)*(1+0.04)/($J60-0.04)/(1+$J60)^10)/Model_Base!$L$50</f>
        <v/>
      </c>
      <c r="L60" s="25" t="n">
        <v>0.286385</v>
      </c>
      <c r="M60" s="6">
        <f>(Model_Bull!$L$48+SUMPRODUCT((Model_Bull!$L$40:$U$40-$L60*Model_Bull!$L$27:$U$27)/(1+$L60)^{1,2,3,4,5,6,7,8,9,10})+(Model_Bull!$U$40-$L60*Model_Bull!$U$27)*(1+0.06)/($L60-0.06)/(1+$L60)^10)/Model_Bull!$L$50</f>
        <v/>
      </c>
    </row>
    <row r="61">
      <c r="H61" s="25" t="n">
        <v>0.282433</v>
      </c>
      <c r="I61" s="6">
        <f>(Model_Bear!$L$48+SUMPRODUCT((Model_Bear!$L$40:$U$40-$H61*Model_Bear!$L$27:$U$27)/(1+$H61)^{1,2,3,4,5,6,7,8,9,10})+(Model_Bear!$U$40-$H61*Model_Bear!$U$27)*(1+0.035)/($H61-0.035)/(1+$H61)^10)/Model_Bear!$L$50</f>
        <v/>
      </c>
      <c r="J61" s="25" t="n">
        <v>0.282769</v>
      </c>
      <c r="K61" s="6">
        <f>(Model_Base!$L$48+SUMPRODUCT((Model_Base!$L$40:$U$40-$J61*Model_Base!$L$27:$U$27)/(1+$J61)^{1,2,3,4,5,6,7,8,9,10})+(Model_Base!$U$40-$J61*Model_Base!$U$27)*(1+0.04)/($J61-0.04)/(1+$J61)^10)/Model_Base!$L$50</f>
        <v/>
      </c>
      <c r="L61" s="25" t="n">
        <v>0.284115</v>
      </c>
      <c r="M61" s="6">
        <f>(Model_Bull!$L$48+SUMPRODUCT((Model_Bull!$L$40:$U$40-$L61*Model_Bull!$L$27:$U$27)/(1+$L61)^{1,2,3,4,5,6,7,8,9,10})+(Model_Bull!$U$40-$L61*Model_Bull!$U$27)*(1+0.06)/($L61-0.06)/(1+$L61)^10)/Model_Bull!$L$50</f>
        <v/>
      </c>
    </row>
    <row r="62">
      <c r="H62" s="25" t="n">
        <v>0.279923</v>
      </c>
      <c r="I62" s="6">
        <f>(Model_Bear!$L$48+SUMPRODUCT((Model_Bear!$L$40:$U$40-$H62*Model_Bear!$L$27:$U$27)/(1+$H62)^{1,2,3,4,5,6,7,8,9,10})+(Model_Bear!$U$40-$H62*Model_Bear!$U$27)*(1+0.035)/($H62-0.035)/(1+$H62)^10)/Model_Bear!$L$50</f>
        <v/>
      </c>
      <c r="J62" s="25" t="n">
        <v>0.280308</v>
      </c>
      <c r="K62" s="6">
        <f>(Model_Base!$L$48+SUMPRODUCT((Model_Base!$L$40:$U$40-$J62*Model_Base!$L$27:$U$27)/(1+$J62)^{1,2,3,4,5,6,7,8,9,10})+(Model_Base!$U$40-$J62*Model_Base!$U$27)*(1+0.04)/($J62-0.04)/(1+$J62)^10)/Model_Base!$L$50</f>
        <v/>
      </c>
      <c r="L62" s="25" t="n">
        <v>0.281846</v>
      </c>
      <c r="M62" s="6">
        <f>(Model_Bull!$L$48+SUMPRODUCT((Model_Bull!$L$40:$U$40-$L62*Model_Bull!$L$27:$U$27)/(1+$L62)^{1,2,3,4,5,6,7,8,9,10})+(Model_Bull!$U$40-$L62*Model_Bull!$U$27)*(1+0.06)/($L62-0.06)/(1+$L62)^10)/Model_Bull!$L$50</f>
        <v/>
      </c>
    </row>
    <row r="63">
      <c r="H63" s="25" t="n">
        <v>0.277413</v>
      </c>
      <c r="I63" s="6">
        <f>(Model_Bear!$L$48+SUMPRODUCT((Model_Bear!$L$40:$U$40-$H63*Model_Bear!$L$27:$U$27)/(1+$H63)^{1,2,3,4,5,6,7,8,9,10})+(Model_Bear!$U$40-$H63*Model_Bear!$U$27)*(1+0.035)/($H63-0.035)/(1+$H63)^10)/Model_Bear!$L$50</f>
        <v/>
      </c>
      <c r="J63" s="25" t="n">
        <v>0.277846</v>
      </c>
      <c r="K63" s="6">
        <f>(Model_Base!$L$48+SUMPRODUCT((Model_Base!$L$40:$U$40-$J63*Model_Base!$L$27:$U$27)/(1+$J63)^{1,2,3,4,5,6,7,8,9,10})+(Model_Base!$U$40-$J63*Model_Base!$U$27)*(1+0.04)/($J63-0.04)/(1+$J63)^10)/Model_Base!$L$50</f>
        <v/>
      </c>
      <c r="L63" s="25" t="n">
        <v>0.279577</v>
      </c>
      <c r="M63" s="6">
        <f>(Model_Bull!$L$48+SUMPRODUCT((Model_Bull!$L$40:$U$40-$L63*Model_Bull!$L$27:$U$27)/(1+$L63)^{1,2,3,4,5,6,7,8,9,10})+(Model_Bull!$U$40-$L63*Model_Bull!$U$27)*(1+0.06)/($L63-0.06)/(1+$L63)^10)/Model_Bull!$L$50</f>
        <v/>
      </c>
    </row>
    <row r="64">
      <c r="H64" s="25" t="n">
        <v>0.274904</v>
      </c>
      <c r="I64" s="6">
        <f>(Model_Bear!$L$48+SUMPRODUCT((Model_Bear!$L$40:$U$40-$H64*Model_Bear!$L$27:$U$27)/(1+$H64)^{1,2,3,4,5,6,7,8,9,10})+(Model_Bear!$U$40-$H64*Model_Bear!$U$27)*(1+0.035)/($H64-0.035)/(1+$H64)^10)/Model_Bear!$L$50</f>
        <v/>
      </c>
      <c r="J64" s="25" t="n">
        <v>0.275385</v>
      </c>
      <c r="K64" s="6">
        <f>(Model_Base!$L$48+SUMPRODUCT((Model_Base!$L$40:$U$40-$J64*Model_Base!$L$27:$U$27)/(1+$J64)^{1,2,3,4,5,6,7,8,9,10})+(Model_Base!$U$40-$J64*Model_Base!$U$27)*(1+0.04)/($J64-0.04)/(1+$J64)^10)/Model_Base!$L$50</f>
        <v/>
      </c>
      <c r="L64" s="25" t="n">
        <v>0.277308</v>
      </c>
      <c r="M64" s="6">
        <f>(Model_Bull!$L$48+SUMPRODUCT((Model_Bull!$L$40:$U$40-$L64*Model_Bull!$L$27:$U$27)/(1+$L64)^{1,2,3,4,5,6,7,8,9,10})+(Model_Bull!$U$40-$L64*Model_Bull!$U$27)*(1+0.06)/($L64-0.06)/(1+$L64)^10)/Model_Bull!$L$50</f>
        <v/>
      </c>
    </row>
    <row r="65">
      <c r="H65" s="25" t="n">
        <v>0.272394</v>
      </c>
      <c r="I65" s="6">
        <f>(Model_Bear!$L$48+SUMPRODUCT((Model_Bear!$L$40:$U$40-$H65*Model_Bear!$L$27:$U$27)/(1+$H65)^{1,2,3,4,5,6,7,8,9,10})+(Model_Bear!$U$40-$H65*Model_Bear!$U$27)*(1+0.035)/($H65-0.035)/(1+$H65)^10)/Model_Bear!$L$50</f>
        <v/>
      </c>
      <c r="J65" s="25" t="n">
        <v>0.272923</v>
      </c>
      <c r="K65" s="6">
        <f>(Model_Base!$L$48+SUMPRODUCT((Model_Base!$L$40:$U$40-$J65*Model_Base!$L$27:$U$27)/(1+$J65)^{1,2,3,4,5,6,7,8,9,10})+(Model_Base!$U$40-$J65*Model_Base!$U$27)*(1+0.04)/($J65-0.04)/(1+$J65)^10)/Model_Base!$L$50</f>
        <v/>
      </c>
      <c r="L65" s="25" t="n">
        <v>0.275038</v>
      </c>
      <c r="M65" s="6">
        <f>(Model_Bull!$L$48+SUMPRODUCT((Model_Bull!$L$40:$U$40-$L65*Model_Bull!$L$27:$U$27)/(1+$L65)^{1,2,3,4,5,6,7,8,9,10})+(Model_Bull!$U$40-$L65*Model_Bull!$U$27)*(1+0.06)/($L65-0.06)/(1+$L65)^10)/Model_Bull!$L$50</f>
        <v/>
      </c>
    </row>
    <row r="66">
      <c r="H66" s="25" t="n">
        <v>0.269885</v>
      </c>
      <c r="I66" s="6">
        <f>(Model_Bear!$L$48+SUMPRODUCT((Model_Bear!$L$40:$U$40-$H66*Model_Bear!$L$27:$U$27)/(1+$H66)^{1,2,3,4,5,6,7,8,9,10})+(Model_Bear!$U$40-$H66*Model_Bear!$U$27)*(1+0.035)/($H66-0.035)/(1+$H66)^10)/Model_Bear!$L$50</f>
        <v/>
      </c>
      <c r="J66" s="25" t="n">
        <v>0.270462</v>
      </c>
      <c r="K66" s="6">
        <f>(Model_Base!$L$48+SUMPRODUCT((Model_Base!$L$40:$U$40-$J66*Model_Base!$L$27:$U$27)/(1+$J66)^{1,2,3,4,5,6,7,8,9,10})+(Model_Base!$U$40-$J66*Model_Base!$U$27)*(1+0.04)/($J66-0.04)/(1+$J66)^10)/Model_Base!$L$50</f>
        <v/>
      </c>
      <c r="L66" s="25" t="n">
        <v>0.272769</v>
      </c>
      <c r="M66" s="6">
        <f>(Model_Bull!$L$48+SUMPRODUCT((Model_Bull!$L$40:$U$40-$L66*Model_Bull!$L$27:$U$27)/(1+$L66)^{1,2,3,4,5,6,7,8,9,10})+(Model_Bull!$U$40-$L66*Model_Bull!$U$27)*(1+0.06)/($L66-0.06)/(1+$L66)^10)/Model_Bull!$L$50</f>
        <v/>
      </c>
    </row>
    <row r="67">
      <c r="H67" s="25" t="n">
        <v>0.267375</v>
      </c>
      <c r="I67" s="6">
        <f>(Model_Bear!$L$48+SUMPRODUCT((Model_Bear!$L$40:$U$40-$H67*Model_Bear!$L$27:$U$27)/(1+$H67)^{1,2,3,4,5,6,7,8,9,10})+(Model_Bear!$U$40-$H67*Model_Bear!$U$27)*(1+0.035)/($H67-0.035)/(1+$H67)^10)/Model_Bear!$L$50</f>
        <v/>
      </c>
      <c r="J67" s="25" t="n">
        <v>0.268</v>
      </c>
      <c r="K67" s="6">
        <f>(Model_Base!$L$48+SUMPRODUCT((Model_Base!$L$40:$U$40-$J67*Model_Base!$L$27:$U$27)/(1+$J67)^{1,2,3,4,5,6,7,8,9,10})+(Model_Base!$U$40-$J67*Model_Base!$U$27)*(1+0.04)/($J67-0.04)/(1+$J67)^10)/Model_Base!$L$50</f>
        <v/>
      </c>
      <c r="L67" s="25" t="n">
        <v>0.2705</v>
      </c>
      <c r="M67" s="6">
        <f>(Model_Bull!$L$48+SUMPRODUCT((Model_Bull!$L$40:$U$40-$L67*Model_Bull!$L$27:$U$27)/(1+$L67)^{1,2,3,4,5,6,7,8,9,10})+(Model_Bull!$U$40-$L67*Model_Bull!$U$27)*(1+0.06)/($L67-0.06)/(1+$L67)^10)/Model_Bull!$L$50</f>
        <v/>
      </c>
    </row>
    <row r="68">
      <c r="H68" s="25" t="n">
        <v>0.264865</v>
      </c>
      <c r="I68" s="6">
        <f>(Model_Bear!$L$48+SUMPRODUCT((Model_Bear!$L$40:$U$40-$H68*Model_Bear!$L$27:$U$27)/(1+$H68)^{1,2,3,4,5,6,7,8,9,10})+(Model_Bear!$U$40-$H68*Model_Bear!$U$27)*(1+0.035)/($H68-0.035)/(1+$H68)^10)/Model_Bear!$L$50</f>
        <v/>
      </c>
      <c r="J68" s="25" t="n">
        <v>0.265538</v>
      </c>
      <c r="K68" s="6">
        <f>(Model_Base!$L$48+SUMPRODUCT((Model_Base!$L$40:$U$40-$J68*Model_Base!$L$27:$U$27)/(1+$J68)^{1,2,3,4,5,6,7,8,9,10})+(Model_Base!$U$40-$J68*Model_Base!$U$27)*(1+0.04)/($J68-0.04)/(1+$J68)^10)/Model_Base!$L$50</f>
        <v/>
      </c>
      <c r="L68" s="25" t="n">
        <v>0.268231</v>
      </c>
      <c r="M68" s="6">
        <f>(Model_Bull!$L$48+SUMPRODUCT((Model_Bull!$L$40:$U$40-$L68*Model_Bull!$L$27:$U$27)/(1+$L68)^{1,2,3,4,5,6,7,8,9,10})+(Model_Bull!$U$40-$L68*Model_Bull!$U$27)*(1+0.06)/($L68-0.06)/(1+$L68)^10)/Model_Bull!$L$50</f>
        <v/>
      </c>
    </row>
    <row r="69">
      <c r="H69" s="25" t="n">
        <v>0.262356</v>
      </c>
      <c r="I69" s="6">
        <f>(Model_Bear!$L$48+SUMPRODUCT((Model_Bear!$L$40:$U$40-$H69*Model_Bear!$L$27:$U$27)/(1+$H69)^{1,2,3,4,5,6,7,8,9,10})+(Model_Bear!$U$40-$H69*Model_Bear!$U$27)*(1+0.035)/($H69-0.035)/(1+$H69)^10)/Model_Bear!$L$50</f>
        <v/>
      </c>
      <c r="J69" s="25" t="n">
        <v>0.263077</v>
      </c>
      <c r="K69" s="6">
        <f>(Model_Base!$L$48+SUMPRODUCT((Model_Base!$L$40:$U$40-$J69*Model_Base!$L$27:$U$27)/(1+$J69)^{1,2,3,4,5,6,7,8,9,10})+(Model_Base!$U$40-$J69*Model_Base!$U$27)*(1+0.04)/($J69-0.04)/(1+$J69)^10)/Model_Base!$L$50</f>
        <v/>
      </c>
      <c r="L69" s="25" t="n">
        <v>0.265962</v>
      </c>
      <c r="M69" s="6">
        <f>(Model_Bull!$L$48+SUMPRODUCT((Model_Bull!$L$40:$U$40-$L69*Model_Bull!$L$27:$U$27)/(1+$L69)^{1,2,3,4,5,6,7,8,9,10})+(Model_Bull!$U$40-$L69*Model_Bull!$U$27)*(1+0.06)/($L69-0.06)/(1+$L69)^10)/Model_Bull!$L$50</f>
        <v/>
      </c>
    </row>
    <row r="70">
      <c r="H70" s="25" t="n">
        <v>0.259846</v>
      </c>
      <c r="I70" s="6">
        <f>(Model_Bear!$L$48+SUMPRODUCT((Model_Bear!$L$40:$U$40-$H70*Model_Bear!$L$27:$U$27)/(1+$H70)^{1,2,3,4,5,6,7,8,9,10})+(Model_Bear!$U$40-$H70*Model_Bear!$U$27)*(1+0.035)/($H70-0.035)/(1+$H70)^10)/Model_Bear!$L$50</f>
        <v/>
      </c>
      <c r="J70" s="25" t="n">
        <v>0.260615</v>
      </c>
      <c r="K70" s="6">
        <f>(Model_Base!$L$48+SUMPRODUCT((Model_Base!$L$40:$U$40-$J70*Model_Base!$L$27:$U$27)/(1+$J70)^{1,2,3,4,5,6,7,8,9,10})+(Model_Base!$U$40-$J70*Model_Base!$U$27)*(1+0.04)/($J70-0.04)/(1+$J70)^10)/Model_Base!$L$50</f>
        <v/>
      </c>
      <c r="L70" s="25" t="n">
        <v>0.263692</v>
      </c>
      <c r="M70" s="6">
        <f>(Model_Bull!$L$48+SUMPRODUCT((Model_Bull!$L$40:$U$40-$L70*Model_Bull!$L$27:$U$27)/(1+$L70)^{1,2,3,4,5,6,7,8,9,10})+(Model_Bull!$U$40-$L70*Model_Bull!$U$27)*(1+0.06)/($L70-0.06)/(1+$L70)^10)/Model_Bull!$L$50</f>
        <v/>
      </c>
    </row>
    <row r="71">
      <c r="H71" s="25" t="n">
        <v>0.257337</v>
      </c>
      <c r="I71" s="6">
        <f>(Model_Bear!$L$48+SUMPRODUCT((Model_Bear!$L$40:$U$40-$H71*Model_Bear!$L$27:$U$27)/(1+$H71)^{1,2,3,4,5,6,7,8,9,10})+(Model_Bear!$U$40-$H71*Model_Bear!$U$27)*(1+0.035)/($H71-0.035)/(1+$H71)^10)/Model_Bear!$L$50</f>
        <v/>
      </c>
      <c r="J71" s="25" t="n">
        <v>0.258154</v>
      </c>
      <c r="K71" s="6">
        <f>(Model_Base!$L$48+SUMPRODUCT((Model_Base!$L$40:$U$40-$J71*Model_Base!$L$27:$U$27)/(1+$J71)^{1,2,3,4,5,6,7,8,9,10})+(Model_Base!$U$40-$J71*Model_Base!$U$27)*(1+0.04)/($J71-0.04)/(1+$J71)^10)/Model_Base!$L$50</f>
        <v/>
      </c>
      <c r="L71" s="25" t="n">
        <v>0.261423</v>
      </c>
      <c r="M71" s="6">
        <f>(Model_Bull!$L$48+SUMPRODUCT((Model_Bull!$L$40:$U$40-$L71*Model_Bull!$L$27:$U$27)/(1+$L71)^{1,2,3,4,5,6,7,8,9,10})+(Model_Bull!$U$40-$L71*Model_Bull!$U$27)*(1+0.06)/($L71-0.06)/(1+$L71)^10)/Model_Bull!$L$50</f>
        <v/>
      </c>
    </row>
    <row r="72">
      <c r="H72" s="25" t="n">
        <v>0.254827</v>
      </c>
      <c r="I72" s="6">
        <f>(Model_Bear!$L$48+SUMPRODUCT((Model_Bear!$L$40:$U$40-$H72*Model_Bear!$L$27:$U$27)/(1+$H72)^{1,2,3,4,5,6,7,8,9,10})+(Model_Bear!$U$40-$H72*Model_Bear!$U$27)*(1+0.035)/($H72-0.035)/(1+$H72)^10)/Model_Bear!$L$50</f>
        <v/>
      </c>
      <c r="J72" s="25" t="n">
        <v>0.255692</v>
      </c>
      <c r="K72" s="6">
        <f>(Model_Base!$L$48+SUMPRODUCT((Model_Base!$L$40:$U$40-$J72*Model_Base!$L$27:$U$27)/(1+$J72)^{1,2,3,4,5,6,7,8,9,10})+(Model_Base!$U$40-$J72*Model_Base!$U$27)*(1+0.04)/($J72-0.04)/(1+$J72)^10)/Model_Base!$L$50</f>
        <v/>
      </c>
      <c r="L72" s="25" t="n">
        <v>0.259154</v>
      </c>
      <c r="M72" s="6">
        <f>(Model_Bull!$L$48+SUMPRODUCT((Model_Bull!$L$40:$U$40-$L72*Model_Bull!$L$27:$U$27)/(1+$L72)^{1,2,3,4,5,6,7,8,9,10})+(Model_Bull!$U$40-$L72*Model_Bull!$U$27)*(1+0.06)/($L72-0.06)/(1+$L72)^10)/Model_Bull!$L$50</f>
        <v/>
      </c>
    </row>
    <row r="73">
      <c r="H73" s="25" t="n">
        <v>0.252317</v>
      </c>
      <c r="I73" s="6">
        <f>(Model_Bear!$L$48+SUMPRODUCT((Model_Bear!$L$40:$U$40-$H73*Model_Bear!$L$27:$U$27)/(1+$H73)^{1,2,3,4,5,6,7,8,9,10})+(Model_Bear!$U$40-$H73*Model_Bear!$U$27)*(1+0.035)/($H73-0.035)/(1+$H73)^10)/Model_Bear!$L$50</f>
        <v/>
      </c>
      <c r="J73" s="25" t="n">
        <v>0.253231</v>
      </c>
      <c r="K73" s="6">
        <f>(Model_Base!$L$48+SUMPRODUCT((Model_Base!$L$40:$U$40-$J73*Model_Base!$L$27:$U$27)/(1+$J73)^{1,2,3,4,5,6,7,8,9,10})+(Model_Base!$U$40-$J73*Model_Base!$U$27)*(1+0.04)/($J73-0.04)/(1+$J73)^10)/Model_Base!$L$50</f>
        <v/>
      </c>
      <c r="L73" s="25" t="n">
        <v>0.256885</v>
      </c>
      <c r="M73" s="6">
        <f>(Model_Bull!$L$48+SUMPRODUCT((Model_Bull!$L$40:$U$40-$L73*Model_Bull!$L$27:$U$27)/(1+$L73)^{1,2,3,4,5,6,7,8,9,10})+(Model_Bull!$U$40-$L73*Model_Bull!$U$27)*(1+0.06)/($L73-0.06)/(1+$L73)^10)/Model_Bull!$L$50</f>
        <v/>
      </c>
    </row>
    <row r="74">
      <c r="H74" s="25" t="n">
        <v>0.249808</v>
      </c>
      <c r="I74" s="6">
        <f>(Model_Bear!$L$48+SUMPRODUCT((Model_Bear!$L$40:$U$40-$H74*Model_Bear!$L$27:$U$27)/(1+$H74)^{1,2,3,4,5,6,7,8,9,10})+(Model_Bear!$U$40-$H74*Model_Bear!$U$27)*(1+0.035)/($H74-0.035)/(1+$H74)^10)/Model_Bear!$L$50</f>
        <v/>
      </c>
      <c r="J74" s="25" t="n">
        <v>0.250769</v>
      </c>
      <c r="K74" s="6">
        <f>(Model_Base!$L$48+SUMPRODUCT((Model_Base!$L$40:$U$40-$J74*Model_Base!$L$27:$U$27)/(1+$J74)^{1,2,3,4,5,6,7,8,9,10})+(Model_Base!$U$40-$J74*Model_Base!$U$27)*(1+0.04)/($J74-0.04)/(1+$J74)^10)/Model_Base!$L$50</f>
        <v/>
      </c>
      <c r="L74" s="25" t="n">
        <v>0.254615</v>
      </c>
      <c r="M74" s="6">
        <f>(Model_Bull!$L$48+SUMPRODUCT((Model_Bull!$L$40:$U$40-$L74*Model_Bull!$L$27:$U$27)/(1+$L74)^{1,2,3,4,5,6,7,8,9,10})+(Model_Bull!$U$40-$L74*Model_Bull!$U$27)*(1+0.06)/($L74-0.06)/(1+$L74)^10)/Model_Bull!$L$50</f>
        <v/>
      </c>
    </row>
    <row r="75">
      <c r="H75" s="25" t="n">
        <v>0.247298</v>
      </c>
      <c r="I75" s="6">
        <f>(Model_Bear!$L$48+SUMPRODUCT((Model_Bear!$L$40:$U$40-$H75*Model_Bear!$L$27:$U$27)/(1+$H75)^{1,2,3,4,5,6,7,8,9,10})+(Model_Bear!$U$40-$H75*Model_Bear!$U$27)*(1+0.035)/($H75-0.035)/(1+$H75)^10)/Model_Bear!$L$50</f>
        <v/>
      </c>
      <c r="J75" s="25" t="n">
        <v>0.248308</v>
      </c>
      <c r="K75" s="6">
        <f>(Model_Base!$L$48+SUMPRODUCT((Model_Base!$L$40:$U$40-$J75*Model_Base!$L$27:$U$27)/(1+$J75)^{1,2,3,4,5,6,7,8,9,10})+(Model_Base!$U$40-$J75*Model_Base!$U$27)*(1+0.04)/($J75-0.04)/(1+$J75)^10)/Model_Base!$L$50</f>
        <v/>
      </c>
      <c r="L75" s="25" t="n">
        <v>0.252346</v>
      </c>
      <c r="M75" s="6">
        <f>(Model_Bull!$L$48+SUMPRODUCT((Model_Bull!$L$40:$U$40-$L75*Model_Bull!$L$27:$U$27)/(1+$L75)^{1,2,3,4,5,6,7,8,9,10})+(Model_Bull!$U$40-$L75*Model_Bull!$U$27)*(1+0.06)/($L75-0.06)/(1+$L75)^10)/Model_Bull!$L$50</f>
        <v/>
      </c>
    </row>
    <row r="76">
      <c r="H76" s="25" t="n">
        <v>0.244788</v>
      </c>
      <c r="I76" s="6">
        <f>(Model_Bear!$L$48+SUMPRODUCT((Model_Bear!$L$40:$U$40-$H76*Model_Bear!$L$27:$U$27)/(1+$H76)^{1,2,3,4,5,6,7,8,9,10})+(Model_Bear!$U$40-$H76*Model_Bear!$U$27)*(1+0.035)/($H76-0.035)/(1+$H76)^10)/Model_Bear!$L$50</f>
        <v/>
      </c>
      <c r="J76" s="25" t="n">
        <v>0.245846</v>
      </c>
      <c r="K76" s="6">
        <f>(Model_Base!$L$48+SUMPRODUCT((Model_Base!$L$40:$U$40-$J76*Model_Base!$L$27:$U$27)/(1+$J76)^{1,2,3,4,5,6,7,8,9,10})+(Model_Base!$U$40-$J76*Model_Base!$U$27)*(1+0.04)/($J76-0.04)/(1+$J76)^10)/Model_Base!$L$50</f>
        <v/>
      </c>
      <c r="L76" s="25" t="n">
        <v>0.250077</v>
      </c>
      <c r="M76" s="6">
        <f>(Model_Bull!$L$48+SUMPRODUCT((Model_Bull!$L$40:$U$40-$L76*Model_Bull!$L$27:$U$27)/(1+$L76)^{1,2,3,4,5,6,7,8,9,10})+(Model_Bull!$U$40-$L76*Model_Bull!$U$27)*(1+0.06)/($L76-0.06)/(1+$L76)^10)/Model_Bull!$L$50</f>
        <v/>
      </c>
    </row>
    <row r="77">
      <c r="H77" s="25" t="n">
        <v>0.242279</v>
      </c>
      <c r="I77" s="6">
        <f>(Model_Bear!$L$48+SUMPRODUCT((Model_Bear!$L$40:$U$40-$H77*Model_Bear!$L$27:$U$27)/(1+$H77)^{1,2,3,4,5,6,7,8,9,10})+(Model_Bear!$U$40-$H77*Model_Bear!$U$27)*(1+0.035)/($H77-0.035)/(1+$H77)^10)/Model_Bear!$L$50</f>
        <v/>
      </c>
      <c r="J77" s="25" t="n">
        <v>0.243385</v>
      </c>
      <c r="K77" s="6">
        <f>(Model_Base!$L$48+SUMPRODUCT((Model_Base!$L$40:$U$40-$J77*Model_Base!$L$27:$U$27)/(1+$J77)^{1,2,3,4,5,6,7,8,9,10})+(Model_Base!$U$40-$J77*Model_Base!$U$27)*(1+0.04)/($J77-0.04)/(1+$J77)^10)/Model_Base!$L$50</f>
        <v/>
      </c>
      <c r="L77" s="25" t="n">
        <v>0.247808</v>
      </c>
      <c r="M77" s="6">
        <f>(Model_Bull!$L$48+SUMPRODUCT((Model_Bull!$L$40:$U$40-$L77*Model_Bull!$L$27:$U$27)/(1+$L77)^{1,2,3,4,5,6,7,8,9,10})+(Model_Bull!$U$40-$L77*Model_Bull!$U$27)*(1+0.06)/($L77-0.06)/(1+$L77)^10)/Model_Bull!$L$50</f>
        <v/>
      </c>
    </row>
    <row r="78">
      <c r="H78" s="25" t="n">
        <v>0.239769</v>
      </c>
      <c r="I78" s="6">
        <f>(Model_Bear!$L$48+SUMPRODUCT((Model_Bear!$L$40:$U$40-$H78*Model_Bear!$L$27:$U$27)/(1+$H78)^{1,2,3,4,5,6,7,8,9,10})+(Model_Bear!$U$40-$H78*Model_Bear!$U$27)*(1+0.035)/($H78-0.035)/(1+$H78)^10)/Model_Bear!$L$50</f>
        <v/>
      </c>
      <c r="J78" s="25" t="n">
        <v>0.240923</v>
      </c>
      <c r="K78" s="6">
        <f>(Model_Base!$L$48+SUMPRODUCT((Model_Base!$L$40:$U$40-$J78*Model_Base!$L$27:$U$27)/(1+$J78)^{1,2,3,4,5,6,7,8,9,10})+(Model_Base!$U$40-$J78*Model_Base!$U$27)*(1+0.04)/($J78-0.04)/(1+$J78)^10)/Model_Base!$L$50</f>
        <v/>
      </c>
      <c r="L78" s="25" t="n">
        <v>0.245538</v>
      </c>
      <c r="M78" s="6">
        <f>(Model_Bull!$L$48+SUMPRODUCT((Model_Bull!$L$40:$U$40-$L78*Model_Bull!$L$27:$U$27)/(1+$L78)^{1,2,3,4,5,6,7,8,9,10})+(Model_Bull!$U$40-$L78*Model_Bull!$U$27)*(1+0.06)/($L78-0.06)/(1+$L78)^10)/Model_Bull!$L$50</f>
        <v/>
      </c>
    </row>
    <row r="79">
      <c r="H79" s="25" t="n">
        <v>0.23726</v>
      </c>
      <c r="I79" s="6">
        <f>(Model_Bear!$L$48+SUMPRODUCT((Model_Bear!$L$40:$U$40-$H79*Model_Bear!$L$27:$U$27)/(1+$H79)^{1,2,3,4,5,6,7,8,9,10})+(Model_Bear!$U$40-$H79*Model_Bear!$U$27)*(1+0.035)/($H79-0.035)/(1+$H79)^10)/Model_Bear!$L$50</f>
        <v/>
      </c>
      <c r="J79" s="25" t="n">
        <v>0.238462</v>
      </c>
      <c r="K79" s="6">
        <f>(Model_Base!$L$48+SUMPRODUCT((Model_Base!$L$40:$U$40-$J79*Model_Base!$L$27:$U$27)/(1+$J79)^{1,2,3,4,5,6,7,8,9,10})+(Model_Base!$U$40-$J79*Model_Base!$U$27)*(1+0.04)/($J79-0.04)/(1+$J79)^10)/Model_Base!$L$50</f>
        <v/>
      </c>
      <c r="L79" s="25" t="n">
        <v>0.243269</v>
      </c>
      <c r="M79" s="6">
        <f>(Model_Bull!$L$48+SUMPRODUCT((Model_Bull!$L$40:$U$40-$L79*Model_Bull!$L$27:$U$27)/(1+$L79)^{1,2,3,4,5,6,7,8,9,10})+(Model_Bull!$U$40-$L79*Model_Bull!$U$27)*(1+0.06)/($L79-0.06)/(1+$L79)^10)/Model_Bull!$L$50</f>
        <v/>
      </c>
    </row>
    <row r="80">
      <c r="H80" s="25" t="n">
        <v>0.23475</v>
      </c>
      <c r="I80" s="6">
        <f>(Model_Bear!$L$48+SUMPRODUCT((Model_Bear!$L$40:$U$40-$H80*Model_Bear!$L$27:$U$27)/(1+$H80)^{1,2,3,4,5,6,7,8,9,10})+(Model_Bear!$U$40-$H80*Model_Bear!$U$27)*(1+0.035)/($H80-0.035)/(1+$H80)^10)/Model_Bear!$L$50</f>
        <v/>
      </c>
      <c r="J80" s="25" t="n">
        <v>0.236</v>
      </c>
      <c r="K80" s="6">
        <f>(Model_Base!$L$48+SUMPRODUCT((Model_Base!$L$40:$U$40-$J80*Model_Base!$L$27:$U$27)/(1+$J80)^{1,2,3,4,5,6,7,8,9,10})+(Model_Base!$U$40-$J80*Model_Base!$U$27)*(1+0.04)/($J80-0.04)/(1+$J80)^10)/Model_Base!$L$50</f>
        <v/>
      </c>
      <c r="L80" s="25" t="n">
        <v>0.241</v>
      </c>
      <c r="M80" s="6">
        <f>(Model_Bull!$L$48+SUMPRODUCT((Model_Bull!$L$40:$U$40-$L80*Model_Bull!$L$27:$U$27)/(1+$L80)^{1,2,3,4,5,6,7,8,9,10})+(Model_Bull!$U$40-$L80*Model_Bull!$U$27)*(1+0.06)/($L80-0.06)/(1+$L80)^10)/Model_Bull!$L$50</f>
        <v/>
      </c>
    </row>
    <row r="81">
      <c r="H81" s="25" t="n">
        <v>0.23224</v>
      </c>
      <c r="I81" s="6">
        <f>(Model_Bear!$L$48+SUMPRODUCT((Model_Bear!$L$40:$U$40-$H81*Model_Bear!$L$27:$U$27)/(1+$H81)^{1,2,3,4,5,6,7,8,9,10})+(Model_Bear!$U$40-$H81*Model_Bear!$U$27)*(1+0.035)/($H81-0.035)/(1+$H81)^10)/Model_Bear!$L$50</f>
        <v/>
      </c>
      <c r="J81" s="25" t="n">
        <v>0.233538</v>
      </c>
      <c r="K81" s="6">
        <f>(Model_Base!$L$48+SUMPRODUCT((Model_Base!$L$40:$U$40-$J81*Model_Base!$L$27:$U$27)/(1+$J81)^{1,2,3,4,5,6,7,8,9,10})+(Model_Base!$U$40-$J81*Model_Base!$U$27)*(1+0.04)/($J81-0.04)/(1+$J81)^10)/Model_Base!$L$50</f>
        <v/>
      </c>
      <c r="L81" s="25" t="n">
        <v>0.238731</v>
      </c>
      <c r="M81" s="6">
        <f>(Model_Bull!$L$48+SUMPRODUCT((Model_Bull!$L$40:$U$40-$L81*Model_Bull!$L$27:$U$27)/(1+$L81)^{1,2,3,4,5,6,7,8,9,10})+(Model_Bull!$U$40-$L81*Model_Bull!$U$27)*(1+0.06)/($L81-0.06)/(1+$L81)^10)/Model_Bull!$L$50</f>
        <v/>
      </c>
    </row>
    <row r="82">
      <c r="H82" s="25" t="n">
        <v>0.229731</v>
      </c>
      <c r="I82" s="6">
        <f>(Model_Bear!$L$48+SUMPRODUCT((Model_Bear!$L$40:$U$40-$H82*Model_Bear!$L$27:$U$27)/(1+$H82)^{1,2,3,4,5,6,7,8,9,10})+(Model_Bear!$U$40-$H82*Model_Bear!$U$27)*(1+0.035)/($H82-0.035)/(1+$H82)^10)/Model_Bear!$L$50</f>
        <v/>
      </c>
      <c r="J82" s="25" t="n">
        <v>0.231077</v>
      </c>
      <c r="K82" s="6">
        <f>(Model_Base!$L$48+SUMPRODUCT((Model_Base!$L$40:$U$40-$J82*Model_Base!$L$27:$U$27)/(1+$J82)^{1,2,3,4,5,6,7,8,9,10})+(Model_Base!$U$40-$J82*Model_Base!$U$27)*(1+0.04)/($J82-0.04)/(1+$J82)^10)/Model_Base!$L$50</f>
        <v/>
      </c>
      <c r="L82" s="25" t="n">
        <v>0.236462</v>
      </c>
      <c r="M82" s="6">
        <f>(Model_Bull!$L$48+SUMPRODUCT((Model_Bull!$L$40:$U$40-$L82*Model_Bull!$L$27:$U$27)/(1+$L82)^{1,2,3,4,5,6,7,8,9,10})+(Model_Bull!$U$40-$L82*Model_Bull!$U$27)*(1+0.06)/($L82-0.06)/(1+$L82)^10)/Model_Bull!$L$50</f>
        <v/>
      </c>
    </row>
    <row r="83">
      <c r="H83" s="25" t="n">
        <v>0.227221</v>
      </c>
      <c r="I83" s="6">
        <f>(Model_Bear!$L$48+SUMPRODUCT((Model_Bear!$L$40:$U$40-$H83*Model_Bear!$L$27:$U$27)/(1+$H83)^{1,2,3,4,5,6,7,8,9,10})+(Model_Bear!$U$40-$H83*Model_Bear!$U$27)*(1+0.035)/($H83-0.035)/(1+$H83)^10)/Model_Bear!$L$50</f>
        <v/>
      </c>
      <c r="J83" s="25" t="n">
        <v>0.228615</v>
      </c>
      <c r="K83" s="6">
        <f>(Model_Base!$L$48+SUMPRODUCT((Model_Base!$L$40:$U$40-$J83*Model_Base!$L$27:$U$27)/(1+$J83)^{1,2,3,4,5,6,7,8,9,10})+(Model_Base!$U$40-$J83*Model_Base!$U$27)*(1+0.04)/($J83-0.04)/(1+$J83)^10)/Model_Base!$L$50</f>
        <v/>
      </c>
      <c r="L83" s="25" t="n">
        <v>0.234192</v>
      </c>
      <c r="M83" s="6">
        <f>(Model_Bull!$L$48+SUMPRODUCT((Model_Bull!$L$40:$U$40-$L83*Model_Bull!$L$27:$U$27)/(1+$L83)^{1,2,3,4,5,6,7,8,9,10})+(Model_Bull!$U$40-$L83*Model_Bull!$U$27)*(1+0.06)/($L83-0.06)/(1+$L83)^10)/Model_Bull!$L$50</f>
        <v/>
      </c>
    </row>
    <row r="84">
      <c r="H84" s="25" t="n">
        <v>0.224712</v>
      </c>
      <c r="I84" s="6">
        <f>(Model_Bear!$L$48+SUMPRODUCT((Model_Bear!$L$40:$U$40-$H84*Model_Bear!$L$27:$U$27)/(1+$H84)^{1,2,3,4,5,6,7,8,9,10})+(Model_Bear!$U$40-$H84*Model_Bear!$U$27)*(1+0.035)/($H84-0.035)/(1+$H84)^10)/Model_Bear!$L$50</f>
        <v/>
      </c>
      <c r="J84" s="25" t="n">
        <v>0.226154</v>
      </c>
      <c r="K84" s="6">
        <f>(Model_Base!$L$48+SUMPRODUCT((Model_Base!$L$40:$U$40-$J84*Model_Base!$L$27:$U$27)/(1+$J84)^{1,2,3,4,5,6,7,8,9,10})+(Model_Base!$U$40-$J84*Model_Base!$U$27)*(1+0.04)/($J84-0.04)/(1+$J84)^10)/Model_Base!$L$50</f>
        <v/>
      </c>
      <c r="L84" s="25" t="n">
        <v>0.231923</v>
      </c>
      <c r="M84" s="6">
        <f>(Model_Bull!$L$48+SUMPRODUCT((Model_Bull!$L$40:$U$40-$L84*Model_Bull!$L$27:$U$27)/(1+$L84)^{1,2,3,4,5,6,7,8,9,10})+(Model_Bull!$U$40-$L84*Model_Bull!$U$27)*(1+0.06)/($L84-0.06)/(1+$L84)^10)/Model_Bull!$L$50</f>
        <v/>
      </c>
    </row>
    <row r="85">
      <c r="H85" s="25" t="n">
        <v>0.222202</v>
      </c>
      <c r="I85" s="6">
        <f>(Model_Bear!$L$48+SUMPRODUCT((Model_Bear!$L$40:$U$40-$H85*Model_Bear!$L$27:$U$27)/(1+$H85)^{1,2,3,4,5,6,7,8,9,10})+(Model_Bear!$U$40-$H85*Model_Bear!$U$27)*(1+0.035)/($H85-0.035)/(1+$H85)^10)/Model_Bear!$L$50</f>
        <v/>
      </c>
      <c r="J85" s="25" t="n">
        <v>0.223692</v>
      </c>
      <c r="K85" s="6">
        <f>(Model_Base!$L$48+SUMPRODUCT((Model_Base!$L$40:$U$40-$J85*Model_Base!$L$27:$U$27)/(1+$J85)^{1,2,3,4,5,6,7,8,9,10})+(Model_Base!$U$40-$J85*Model_Base!$U$27)*(1+0.04)/($J85-0.04)/(1+$J85)^10)/Model_Base!$L$50</f>
        <v/>
      </c>
      <c r="L85" s="25" t="n">
        <v>0.229654</v>
      </c>
      <c r="M85" s="6">
        <f>(Model_Bull!$L$48+SUMPRODUCT((Model_Bull!$L$40:$U$40-$L85*Model_Bull!$L$27:$U$27)/(1+$L85)^{1,2,3,4,5,6,7,8,9,10})+(Model_Bull!$U$40-$L85*Model_Bull!$U$27)*(1+0.06)/($L85-0.06)/(1+$L85)^10)/Model_Bull!$L$50</f>
        <v/>
      </c>
    </row>
    <row r="86">
      <c r="H86" s="25" t="n">
        <v>0.219692</v>
      </c>
      <c r="I86" s="6">
        <f>(Model_Bear!$L$48+SUMPRODUCT((Model_Bear!$L$40:$U$40-$H86*Model_Bear!$L$27:$U$27)/(1+$H86)^{1,2,3,4,5,6,7,8,9,10})+(Model_Bear!$U$40-$H86*Model_Bear!$U$27)*(1+0.035)/($H86-0.035)/(1+$H86)^10)/Model_Bear!$L$50</f>
        <v/>
      </c>
      <c r="J86" s="25" t="n">
        <v>0.221231</v>
      </c>
      <c r="K86" s="6">
        <f>(Model_Base!$L$48+SUMPRODUCT((Model_Base!$L$40:$U$40-$J86*Model_Base!$L$27:$U$27)/(1+$J86)^{1,2,3,4,5,6,7,8,9,10})+(Model_Base!$U$40-$J86*Model_Base!$U$27)*(1+0.04)/($J86-0.04)/(1+$J86)^10)/Model_Base!$L$50</f>
        <v/>
      </c>
      <c r="L86" s="25" t="n">
        <v>0.227385</v>
      </c>
      <c r="M86" s="6">
        <f>(Model_Bull!$L$48+SUMPRODUCT((Model_Bull!$L$40:$U$40-$L86*Model_Bull!$L$27:$U$27)/(1+$L86)^{1,2,3,4,5,6,7,8,9,10})+(Model_Bull!$U$40-$L86*Model_Bull!$U$27)*(1+0.06)/($L86-0.06)/(1+$L86)^10)/Model_Bull!$L$50</f>
        <v/>
      </c>
    </row>
    <row r="87">
      <c r="H87" s="25" t="n">
        <v>0.217183</v>
      </c>
      <c r="I87" s="6">
        <f>(Model_Bear!$L$48+SUMPRODUCT((Model_Bear!$L$40:$U$40-$H87*Model_Bear!$L$27:$U$27)/(1+$H87)^{1,2,3,4,5,6,7,8,9,10})+(Model_Bear!$U$40-$H87*Model_Bear!$U$27)*(1+0.035)/($H87-0.035)/(1+$H87)^10)/Model_Bear!$L$50</f>
        <v/>
      </c>
      <c r="J87" s="25" t="n">
        <v>0.218769</v>
      </c>
      <c r="K87" s="6">
        <f>(Model_Base!$L$48+SUMPRODUCT((Model_Base!$L$40:$U$40-$J87*Model_Base!$L$27:$U$27)/(1+$J87)^{1,2,3,4,5,6,7,8,9,10})+(Model_Base!$U$40-$J87*Model_Base!$U$27)*(1+0.04)/($J87-0.04)/(1+$J87)^10)/Model_Base!$L$50</f>
        <v/>
      </c>
      <c r="L87" s="25" t="n">
        <v>0.225115</v>
      </c>
      <c r="M87" s="6">
        <f>(Model_Bull!$L$48+SUMPRODUCT((Model_Bull!$L$40:$U$40-$L87*Model_Bull!$L$27:$U$27)/(1+$L87)^{1,2,3,4,5,6,7,8,9,10})+(Model_Bull!$U$40-$L87*Model_Bull!$U$27)*(1+0.06)/($L87-0.06)/(1+$L87)^10)/Model_Bull!$L$50</f>
        <v/>
      </c>
    </row>
    <row r="88">
      <c r="H88" s="25" t="n">
        <v>0.214673</v>
      </c>
      <c r="I88" s="6">
        <f>(Model_Bear!$L$48+SUMPRODUCT((Model_Bear!$L$40:$U$40-$H88*Model_Bear!$L$27:$U$27)/(1+$H88)^{1,2,3,4,5,6,7,8,9,10})+(Model_Bear!$U$40-$H88*Model_Bear!$U$27)*(1+0.035)/($H88-0.035)/(1+$H88)^10)/Model_Bear!$L$50</f>
        <v/>
      </c>
      <c r="J88" s="25" t="n">
        <v>0.216308</v>
      </c>
      <c r="K88" s="6">
        <f>(Model_Base!$L$48+SUMPRODUCT((Model_Base!$L$40:$U$40-$J88*Model_Base!$L$27:$U$27)/(1+$J88)^{1,2,3,4,5,6,7,8,9,10})+(Model_Base!$U$40-$J88*Model_Base!$U$27)*(1+0.04)/($J88-0.04)/(1+$J88)^10)/Model_Base!$L$50</f>
        <v/>
      </c>
      <c r="L88" s="25" t="n">
        <v>0.222846</v>
      </c>
      <c r="M88" s="6">
        <f>(Model_Bull!$L$48+SUMPRODUCT((Model_Bull!$L$40:$U$40-$L88*Model_Bull!$L$27:$U$27)/(1+$L88)^{1,2,3,4,5,6,7,8,9,10})+(Model_Bull!$U$40-$L88*Model_Bull!$U$27)*(1+0.06)/($L88-0.06)/(1+$L88)^10)/Model_Bull!$L$50</f>
        <v/>
      </c>
    </row>
    <row r="89">
      <c r="H89" s="25" t="n">
        <v>0.212163</v>
      </c>
      <c r="I89" s="6">
        <f>(Model_Bear!$L$48+SUMPRODUCT((Model_Bear!$L$40:$U$40-$H89*Model_Bear!$L$27:$U$27)/(1+$H89)^{1,2,3,4,5,6,7,8,9,10})+(Model_Bear!$U$40-$H89*Model_Bear!$U$27)*(1+0.035)/($H89-0.035)/(1+$H89)^10)/Model_Bear!$L$50</f>
        <v/>
      </c>
      <c r="J89" s="25" t="n">
        <v>0.213846</v>
      </c>
      <c r="K89" s="6">
        <f>(Model_Base!$L$48+SUMPRODUCT((Model_Base!$L$40:$U$40-$J89*Model_Base!$L$27:$U$27)/(1+$J89)^{1,2,3,4,5,6,7,8,9,10})+(Model_Base!$U$40-$J89*Model_Base!$U$27)*(1+0.04)/($J89-0.04)/(1+$J89)^10)/Model_Base!$L$50</f>
        <v/>
      </c>
      <c r="L89" s="25" t="n">
        <v>0.220577</v>
      </c>
      <c r="M89" s="6">
        <f>(Model_Bull!$L$48+SUMPRODUCT((Model_Bull!$L$40:$U$40-$L89*Model_Bull!$L$27:$U$27)/(1+$L89)^{1,2,3,4,5,6,7,8,9,10})+(Model_Bull!$U$40-$L89*Model_Bull!$U$27)*(1+0.06)/($L89-0.06)/(1+$L89)^10)/Model_Bull!$L$50</f>
        <v/>
      </c>
    </row>
    <row r="90">
      <c r="H90" s="25" t="n">
        <v>0.209654</v>
      </c>
      <c r="I90" s="6">
        <f>(Model_Bear!$L$48+SUMPRODUCT((Model_Bear!$L$40:$U$40-$H90*Model_Bear!$L$27:$U$27)/(1+$H90)^{1,2,3,4,5,6,7,8,9,10})+(Model_Bear!$U$40-$H90*Model_Bear!$U$27)*(1+0.035)/($H90-0.035)/(1+$H90)^10)/Model_Bear!$L$50</f>
        <v/>
      </c>
      <c r="J90" s="25" t="n">
        <v>0.211385</v>
      </c>
      <c r="K90" s="6">
        <f>(Model_Base!$L$48+SUMPRODUCT((Model_Base!$L$40:$U$40-$J90*Model_Base!$L$27:$U$27)/(1+$J90)^{1,2,3,4,5,6,7,8,9,10})+(Model_Base!$U$40-$J90*Model_Base!$U$27)*(1+0.04)/($J90-0.04)/(1+$J90)^10)/Model_Base!$L$50</f>
        <v/>
      </c>
      <c r="L90" s="25" t="n">
        <v>0.218308</v>
      </c>
      <c r="M90" s="6">
        <f>(Model_Bull!$L$48+SUMPRODUCT((Model_Bull!$L$40:$U$40-$L90*Model_Bull!$L$27:$U$27)/(1+$L90)^{1,2,3,4,5,6,7,8,9,10})+(Model_Bull!$U$40-$L90*Model_Bull!$U$27)*(1+0.06)/($L90-0.06)/(1+$L90)^10)/Model_Bull!$L$50</f>
        <v/>
      </c>
    </row>
    <row r="91">
      <c r="H91" s="25" t="n">
        <v>0.207144</v>
      </c>
      <c r="I91" s="6">
        <f>(Model_Bear!$L$48+SUMPRODUCT((Model_Bear!$L$40:$U$40-$H91*Model_Bear!$L$27:$U$27)/(1+$H91)^{1,2,3,4,5,6,7,8,9,10})+(Model_Bear!$U$40-$H91*Model_Bear!$U$27)*(1+0.035)/($H91-0.035)/(1+$H91)^10)/Model_Bear!$L$50</f>
        <v/>
      </c>
      <c r="J91" s="25" t="n">
        <v>0.208923</v>
      </c>
      <c r="K91" s="6">
        <f>(Model_Base!$L$48+SUMPRODUCT((Model_Base!$L$40:$U$40-$J91*Model_Base!$L$27:$U$27)/(1+$J91)^{1,2,3,4,5,6,7,8,9,10})+(Model_Base!$U$40-$J91*Model_Base!$U$27)*(1+0.04)/($J91-0.04)/(1+$J91)^10)/Model_Base!$L$50</f>
        <v/>
      </c>
      <c r="L91" s="25" t="n">
        <v>0.216038</v>
      </c>
      <c r="M91" s="6">
        <f>(Model_Bull!$L$48+SUMPRODUCT((Model_Bull!$L$40:$U$40-$L91*Model_Bull!$L$27:$U$27)/(1+$L91)^{1,2,3,4,5,6,7,8,9,10})+(Model_Bull!$U$40-$L91*Model_Bull!$U$27)*(1+0.06)/($L91-0.06)/(1+$L91)^10)/Model_Bull!$L$50</f>
        <v/>
      </c>
    </row>
    <row r="92">
      <c r="H92" s="25" t="n">
        <v>0.204635</v>
      </c>
      <c r="I92" s="6">
        <f>(Model_Bear!$L$48+SUMPRODUCT((Model_Bear!$L$40:$U$40-$H92*Model_Bear!$L$27:$U$27)/(1+$H92)^{1,2,3,4,5,6,7,8,9,10})+(Model_Bear!$U$40-$H92*Model_Bear!$U$27)*(1+0.035)/($H92-0.035)/(1+$H92)^10)/Model_Bear!$L$50</f>
        <v/>
      </c>
      <c r="J92" s="25" t="n">
        <v>0.206462</v>
      </c>
      <c r="K92" s="6">
        <f>(Model_Base!$L$48+SUMPRODUCT((Model_Base!$L$40:$U$40-$J92*Model_Base!$L$27:$U$27)/(1+$J92)^{1,2,3,4,5,6,7,8,9,10})+(Model_Base!$U$40-$J92*Model_Base!$U$27)*(1+0.04)/($J92-0.04)/(1+$J92)^10)/Model_Base!$L$50</f>
        <v/>
      </c>
      <c r="L92" s="25" t="n">
        <v>0.213769</v>
      </c>
      <c r="M92" s="6">
        <f>(Model_Bull!$L$48+SUMPRODUCT((Model_Bull!$L$40:$U$40-$L92*Model_Bull!$L$27:$U$27)/(1+$L92)^{1,2,3,4,5,6,7,8,9,10})+(Model_Bull!$U$40-$L92*Model_Bull!$U$27)*(1+0.06)/($L92-0.06)/(1+$L92)^10)/Model_Bull!$L$50</f>
        <v/>
      </c>
    </row>
    <row r="93">
      <c r="H93" s="25" t="n">
        <v>0.202125</v>
      </c>
      <c r="I93" s="6">
        <f>(Model_Bear!$L$48+SUMPRODUCT((Model_Bear!$L$40:$U$40-$H93*Model_Bear!$L$27:$U$27)/(1+$H93)^{1,2,3,4,5,6,7,8,9,10})+(Model_Bear!$U$40-$H93*Model_Bear!$U$27)*(1+0.035)/($H93-0.035)/(1+$H93)^10)/Model_Bear!$L$50</f>
        <v/>
      </c>
      <c r="J93" s="25" t="n">
        <v>0.204</v>
      </c>
      <c r="K93" s="6">
        <f>(Model_Base!$L$48+SUMPRODUCT((Model_Base!$L$40:$U$40-$J93*Model_Base!$L$27:$U$27)/(1+$J93)^{1,2,3,4,5,6,7,8,9,10})+(Model_Base!$U$40-$J93*Model_Base!$U$27)*(1+0.04)/($J93-0.04)/(1+$J93)^10)/Model_Base!$L$50</f>
        <v/>
      </c>
      <c r="L93" s="25" t="n">
        <v>0.2115</v>
      </c>
      <c r="M93" s="6">
        <f>(Model_Bull!$L$48+SUMPRODUCT((Model_Bull!$L$40:$U$40-$L93*Model_Bull!$L$27:$U$27)/(1+$L93)^{1,2,3,4,5,6,7,8,9,10})+(Model_Bull!$U$40-$L93*Model_Bull!$U$27)*(1+0.06)/($L93-0.06)/(1+$L93)^10)/Model_Bull!$L$50</f>
        <v/>
      </c>
    </row>
    <row r="94">
      <c r="H94" s="25" t="n">
        <v>0.199615</v>
      </c>
      <c r="I94" s="6">
        <f>(Model_Bear!$L$48+SUMPRODUCT((Model_Bear!$L$40:$U$40-$H94*Model_Bear!$L$27:$U$27)/(1+$H94)^{1,2,3,4,5,6,7,8,9,10})+(Model_Bear!$U$40-$H94*Model_Bear!$U$27)*(1+0.035)/($H94-0.035)/(1+$H94)^10)/Model_Bear!$L$50</f>
        <v/>
      </c>
      <c r="J94" s="25" t="n">
        <v>0.201538</v>
      </c>
      <c r="K94" s="6">
        <f>(Model_Base!$L$48+SUMPRODUCT((Model_Base!$L$40:$U$40-$J94*Model_Base!$L$27:$U$27)/(1+$J94)^{1,2,3,4,5,6,7,8,9,10})+(Model_Base!$U$40-$J94*Model_Base!$U$27)*(1+0.04)/($J94-0.04)/(1+$J94)^10)/Model_Base!$L$50</f>
        <v/>
      </c>
      <c r="L94" s="25" t="n">
        <v>0.209231</v>
      </c>
      <c r="M94" s="6">
        <f>(Model_Bull!$L$48+SUMPRODUCT((Model_Bull!$L$40:$U$40-$L94*Model_Bull!$L$27:$U$27)/(1+$L94)^{1,2,3,4,5,6,7,8,9,10})+(Model_Bull!$U$40-$L94*Model_Bull!$U$27)*(1+0.06)/($L94-0.06)/(1+$L94)^10)/Model_Bull!$L$50</f>
        <v/>
      </c>
    </row>
    <row r="95">
      <c r="H95" s="25" t="n">
        <v>0.197106</v>
      </c>
      <c r="I95" s="6">
        <f>(Model_Bear!$L$48+SUMPRODUCT((Model_Bear!$L$40:$U$40-$H95*Model_Bear!$L$27:$U$27)/(1+$H95)^{1,2,3,4,5,6,7,8,9,10})+(Model_Bear!$U$40-$H95*Model_Bear!$U$27)*(1+0.035)/($H95-0.035)/(1+$H95)^10)/Model_Bear!$L$50</f>
        <v/>
      </c>
      <c r="J95" s="25" t="n">
        <v>0.199077</v>
      </c>
      <c r="K95" s="6">
        <f>(Model_Base!$L$48+SUMPRODUCT((Model_Base!$L$40:$U$40-$J95*Model_Base!$L$27:$U$27)/(1+$J95)^{1,2,3,4,5,6,7,8,9,10})+(Model_Base!$U$40-$J95*Model_Base!$U$27)*(1+0.04)/($J95-0.04)/(1+$J95)^10)/Model_Base!$L$50</f>
        <v/>
      </c>
      <c r="L95" s="25" t="n">
        <v>0.206962</v>
      </c>
      <c r="M95" s="6">
        <f>(Model_Bull!$L$48+SUMPRODUCT((Model_Bull!$L$40:$U$40-$L95*Model_Bull!$L$27:$U$27)/(1+$L95)^{1,2,3,4,5,6,7,8,9,10})+(Model_Bull!$U$40-$L95*Model_Bull!$U$27)*(1+0.06)/($L95-0.06)/(1+$L95)^10)/Model_Bull!$L$50</f>
        <v/>
      </c>
    </row>
    <row r="96">
      <c r="H96" s="25" t="n">
        <v>0.194596</v>
      </c>
      <c r="I96" s="6">
        <f>(Model_Bear!$L$48+SUMPRODUCT((Model_Bear!$L$40:$U$40-$H96*Model_Bear!$L$27:$U$27)/(1+$H96)^{1,2,3,4,5,6,7,8,9,10})+(Model_Bear!$U$40-$H96*Model_Bear!$U$27)*(1+0.035)/($H96-0.035)/(1+$H96)^10)/Model_Bear!$L$50</f>
        <v/>
      </c>
      <c r="J96" s="25" t="n">
        <v>0.196615</v>
      </c>
      <c r="K96" s="6">
        <f>(Model_Base!$L$48+SUMPRODUCT((Model_Base!$L$40:$U$40-$J96*Model_Base!$L$27:$U$27)/(1+$J96)^{1,2,3,4,5,6,7,8,9,10})+(Model_Base!$U$40-$J96*Model_Base!$U$27)*(1+0.04)/($J96-0.04)/(1+$J96)^10)/Model_Base!$L$50</f>
        <v/>
      </c>
      <c r="L96" s="25" t="n">
        <v>0.204692</v>
      </c>
      <c r="M96" s="6">
        <f>(Model_Bull!$L$48+SUMPRODUCT((Model_Bull!$L$40:$U$40-$L96*Model_Bull!$L$27:$U$27)/(1+$L96)^{1,2,3,4,5,6,7,8,9,10})+(Model_Bull!$U$40-$L96*Model_Bull!$U$27)*(1+0.06)/($L96-0.06)/(1+$L96)^10)/Model_Bull!$L$50</f>
        <v/>
      </c>
    </row>
    <row r="97">
      <c r="H97" s="25" t="n">
        <v>0.192087</v>
      </c>
      <c r="I97" s="6">
        <f>(Model_Bear!$L$48+SUMPRODUCT((Model_Bear!$L$40:$U$40-$H97*Model_Bear!$L$27:$U$27)/(1+$H97)^{1,2,3,4,5,6,7,8,9,10})+(Model_Bear!$U$40-$H97*Model_Bear!$U$27)*(1+0.035)/($H97-0.035)/(1+$H97)^10)/Model_Bear!$L$50</f>
        <v/>
      </c>
      <c r="J97" s="25" t="n">
        <v>0.194154</v>
      </c>
      <c r="K97" s="6">
        <f>(Model_Base!$L$48+SUMPRODUCT((Model_Base!$L$40:$U$40-$J97*Model_Base!$L$27:$U$27)/(1+$J97)^{1,2,3,4,5,6,7,8,9,10})+(Model_Base!$U$40-$J97*Model_Base!$U$27)*(1+0.04)/($J97-0.04)/(1+$J97)^10)/Model_Base!$L$50</f>
        <v/>
      </c>
      <c r="L97" s="25" t="n">
        <v>0.202423</v>
      </c>
      <c r="M97" s="6">
        <f>(Model_Bull!$L$48+SUMPRODUCT((Model_Bull!$L$40:$U$40-$L97*Model_Bull!$L$27:$U$27)/(1+$L97)^{1,2,3,4,5,6,7,8,9,10})+(Model_Bull!$U$40-$L97*Model_Bull!$U$27)*(1+0.06)/($L97-0.06)/(1+$L97)^10)/Model_Bull!$L$50</f>
        <v/>
      </c>
    </row>
    <row r="98">
      <c r="H98" s="25" t="n">
        <v>0.189577</v>
      </c>
      <c r="I98" s="6">
        <f>(Model_Bear!$L$48+SUMPRODUCT((Model_Bear!$L$40:$U$40-$H98*Model_Bear!$L$27:$U$27)/(1+$H98)^{1,2,3,4,5,6,7,8,9,10})+(Model_Bear!$U$40-$H98*Model_Bear!$U$27)*(1+0.035)/($H98-0.035)/(1+$H98)^10)/Model_Bear!$L$50</f>
        <v/>
      </c>
      <c r="J98" s="25" t="n">
        <v>0.191692</v>
      </c>
      <c r="K98" s="6">
        <f>(Model_Base!$L$48+SUMPRODUCT((Model_Base!$L$40:$U$40-$J98*Model_Base!$L$27:$U$27)/(1+$J98)^{1,2,3,4,5,6,7,8,9,10})+(Model_Base!$U$40-$J98*Model_Base!$U$27)*(1+0.04)/($J98-0.04)/(1+$J98)^10)/Model_Base!$L$50</f>
        <v/>
      </c>
      <c r="L98" s="25" t="n">
        <v>0.200154</v>
      </c>
      <c r="M98" s="6">
        <f>(Model_Bull!$L$48+SUMPRODUCT((Model_Bull!$L$40:$U$40-$L98*Model_Bull!$L$27:$U$27)/(1+$L98)^{1,2,3,4,5,6,7,8,9,10})+(Model_Bull!$U$40-$L98*Model_Bull!$U$27)*(1+0.06)/($L98-0.06)/(1+$L98)^10)/Model_Bull!$L$50</f>
        <v/>
      </c>
    </row>
    <row r="99">
      <c r="H99" s="25" t="n">
        <v>0.187067</v>
      </c>
      <c r="I99" s="6">
        <f>(Model_Bear!$L$48+SUMPRODUCT((Model_Bear!$L$40:$U$40-$H99*Model_Bear!$L$27:$U$27)/(1+$H99)^{1,2,3,4,5,6,7,8,9,10})+(Model_Bear!$U$40-$H99*Model_Bear!$U$27)*(1+0.035)/($H99-0.035)/(1+$H99)^10)/Model_Bear!$L$50</f>
        <v/>
      </c>
      <c r="J99" s="25" t="n">
        <v>0.189231</v>
      </c>
      <c r="K99" s="6">
        <f>(Model_Base!$L$48+SUMPRODUCT((Model_Base!$L$40:$U$40-$J99*Model_Base!$L$27:$U$27)/(1+$J99)^{1,2,3,4,5,6,7,8,9,10})+(Model_Base!$U$40-$J99*Model_Base!$U$27)*(1+0.04)/($J99-0.04)/(1+$J99)^10)/Model_Base!$L$50</f>
        <v/>
      </c>
      <c r="L99" s="25" t="n">
        <v>0.197885</v>
      </c>
      <c r="M99" s="6">
        <f>(Model_Bull!$L$48+SUMPRODUCT((Model_Bull!$L$40:$U$40-$L99*Model_Bull!$L$27:$U$27)/(1+$L99)^{1,2,3,4,5,6,7,8,9,10})+(Model_Bull!$U$40-$L99*Model_Bull!$U$27)*(1+0.06)/($L99-0.06)/(1+$L99)^10)/Model_Bull!$L$50</f>
        <v/>
      </c>
    </row>
    <row r="100">
      <c r="H100" s="25" t="n">
        <v>0.184558</v>
      </c>
      <c r="I100" s="6">
        <f>(Model_Bear!$L$48+SUMPRODUCT((Model_Bear!$L$40:$U$40-$H100*Model_Bear!$L$27:$U$27)/(1+$H100)^{1,2,3,4,5,6,7,8,9,10})+(Model_Bear!$U$40-$H100*Model_Bear!$U$27)*(1+0.035)/($H100-0.035)/(1+$H100)^10)/Model_Bear!$L$50</f>
        <v/>
      </c>
      <c r="J100" s="25" t="n">
        <v>0.186769</v>
      </c>
      <c r="K100" s="6">
        <f>(Model_Base!$L$48+SUMPRODUCT((Model_Base!$L$40:$U$40-$J100*Model_Base!$L$27:$U$27)/(1+$J100)^{1,2,3,4,5,6,7,8,9,10})+(Model_Base!$U$40-$J100*Model_Base!$U$27)*(1+0.04)/($J100-0.04)/(1+$J100)^10)/Model_Base!$L$50</f>
        <v/>
      </c>
      <c r="L100" s="25" t="n">
        <v>0.195615</v>
      </c>
      <c r="M100" s="6">
        <f>(Model_Bull!$L$48+SUMPRODUCT((Model_Bull!$L$40:$U$40-$L100*Model_Bull!$L$27:$U$27)/(1+$L100)^{1,2,3,4,5,6,7,8,9,10})+(Model_Bull!$U$40-$L100*Model_Bull!$U$27)*(1+0.06)/($L100-0.06)/(1+$L100)^10)/Model_Bull!$L$50</f>
        <v/>
      </c>
    </row>
    <row r="101">
      <c r="H101" s="25" t="n">
        <v>0.182048</v>
      </c>
      <c r="I101" s="6">
        <f>(Model_Bear!$L$48+SUMPRODUCT((Model_Bear!$L$40:$U$40-$H101*Model_Bear!$L$27:$U$27)/(1+$H101)^{1,2,3,4,5,6,7,8,9,10})+(Model_Bear!$U$40-$H101*Model_Bear!$U$27)*(1+0.035)/($H101-0.035)/(1+$H101)^10)/Model_Bear!$L$50</f>
        <v/>
      </c>
      <c r="J101" s="25" t="n">
        <v>0.184308</v>
      </c>
      <c r="K101" s="6">
        <f>(Model_Base!$L$48+SUMPRODUCT((Model_Base!$L$40:$U$40-$J101*Model_Base!$L$27:$U$27)/(1+$J101)^{1,2,3,4,5,6,7,8,9,10})+(Model_Base!$U$40-$J101*Model_Base!$U$27)*(1+0.04)/($J101-0.04)/(1+$J101)^10)/Model_Base!$L$50</f>
        <v/>
      </c>
      <c r="L101" s="25" t="n">
        <v>0.193346</v>
      </c>
      <c r="M101" s="6">
        <f>(Model_Bull!$L$48+SUMPRODUCT((Model_Bull!$L$40:$U$40-$L101*Model_Bull!$L$27:$U$27)/(1+$L101)^{1,2,3,4,5,6,7,8,9,10})+(Model_Bull!$U$40-$L101*Model_Bull!$U$27)*(1+0.06)/($L101-0.06)/(1+$L101)^10)/Model_Bull!$L$50</f>
        <v/>
      </c>
    </row>
    <row r="102">
      <c r="H102" s="25" t="n">
        <v>0.179538</v>
      </c>
      <c r="I102" s="6">
        <f>(Model_Bear!$L$48+SUMPRODUCT((Model_Bear!$L$40:$U$40-$H102*Model_Bear!$L$27:$U$27)/(1+$H102)^{1,2,3,4,5,6,7,8,9,10})+(Model_Bear!$U$40-$H102*Model_Bear!$U$27)*(1+0.035)/($H102-0.035)/(1+$H102)^10)/Model_Bear!$L$50</f>
        <v/>
      </c>
      <c r="J102" s="25" t="n">
        <v>0.181846</v>
      </c>
      <c r="K102" s="6">
        <f>(Model_Base!$L$48+SUMPRODUCT((Model_Base!$L$40:$U$40-$J102*Model_Base!$L$27:$U$27)/(1+$J102)^{1,2,3,4,5,6,7,8,9,10})+(Model_Base!$U$40-$J102*Model_Base!$U$27)*(1+0.04)/($J102-0.04)/(1+$J102)^10)/Model_Base!$L$50</f>
        <v/>
      </c>
      <c r="L102" s="25" t="n">
        <v>0.191077</v>
      </c>
      <c r="M102" s="6">
        <f>(Model_Bull!$L$48+SUMPRODUCT((Model_Bull!$L$40:$U$40-$L102*Model_Bull!$L$27:$U$27)/(1+$L102)^{1,2,3,4,5,6,7,8,9,10})+(Model_Bull!$U$40-$L102*Model_Bull!$U$27)*(1+0.06)/($L102-0.06)/(1+$L102)^10)/Model_Bull!$L$50</f>
        <v/>
      </c>
    </row>
    <row r="103">
      <c r="H103" s="25" t="n">
        <v>0.177029</v>
      </c>
      <c r="I103" s="6">
        <f>(Model_Bear!$L$48+SUMPRODUCT((Model_Bear!$L$40:$U$40-$H103*Model_Bear!$L$27:$U$27)/(1+$H103)^{1,2,3,4,5,6,7,8,9,10})+(Model_Bear!$U$40-$H103*Model_Bear!$U$27)*(1+0.035)/($H103-0.035)/(1+$H103)^10)/Model_Bear!$L$50</f>
        <v/>
      </c>
      <c r="J103" s="25" t="n">
        <v>0.179385</v>
      </c>
      <c r="K103" s="6">
        <f>(Model_Base!$L$48+SUMPRODUCT((Model_Base!$L$40:$U$40-$J103*Model_Base!$L$27:$U$27)/(1+$J103)^{1,2,3,4,5,6,7,8,9,10})+(Model_Base!$U$40-$J103*Model_Base!$U$27)*(1+0.04)/($J103-0.04)/(1+$J103)^10)/Model_Base!$L$50</f>
        <v/>
      </c>
      <c r="L103" s="25" t="n">
        <v>0.188808</v>
      </c>
      <c r="M103" s="6">
        <f>(Model_Bull!$L$48+SUMPRODUCT((Model_Bull!$L$40:$U$40-$L103*Model_Bull!$L$27:$U$27)/(1+$L103)^{1,2,3,4,5,6,7,8,9,10})+(Model_Bull!$U$40-$L103*Model_Bull!$U$27)*(1+0.06)/($L103-0.06)/(1+$L103)^10)/Model_Bull!$L$50</f>
        <v/>
      </c>
    </row>
    <row r="104">
      <c r="H104" s="25" t="n">
        <v>0.174519</v>
      </c>
      <c r="I104" s="6">
        <f>(Model_Bear!$L$48+SUMPRODUCT((Model_Bear!$L$40:$U$40-$H104*Model_Bear!$L$27:$U$27)/(1+$H104)^{1,2,3,4,5,6,7,8,9,10})+(Model_Bear!$U$40-$H104*Model_Bear!$U$27)*(1+0.035)/($H104-0.035)/(1+$H104)^10)/Model_Bear!$L$50</f>
        <v/>
      </c>
      <c r="J104" s="25" t="n">
        <v>0.176923</v>
      </c>
      <c r="K104" s="6">
        <f>(Model_Base!$L$48+SUMPRODUCT((Model_Base!$L$40:$U$40-$J104*Model_Base!$L$27:$U$27)/(1+$J104)^{1,2,3,4,5,6,7,8,9,10})+(Model_Base!$U$40-$J104*Model_Base!$U$27)*(1+0.04)/($J104-0.04)/(1+$J104)^10)/Model_Base!$L$50</f>
        <v/>
      </c>
      <c r="L104" s="25" t="n">
        <v>0.186538</v>
      </c>
      <c r="M104" s="6">
        <f>(Model_Bull!$L$48+SUMPRODUCT((Model_Bull!$L$40:$U$40-$L104*Model_Bull!$L$27:$U$27)/(1+$L104)^{1,2,3,4,5,6,7,8,9,10})+(Model_Bull!$U$40-$L104*Model_Bull!$U$27)*(1+0.06)/($L104-0.06)/(1+$L104)^10)/Model_Bull!$L$50</f>
        <v/>
      </c>
    </row>
    <row r="105">
      <c r="H105" s="25" t="n">
        <v>0.17201</v>
      </c>
      <c r="I105" s="6">
        <f>(Model_Bear!$L$48+SUMPRODUCT((Model_Bear!$L$40:$U$40-$H105*Model_Bear!$L$27:$U$27)/(1+$H105)^{1,2,3,4,5,6,7,8,9,10})+(Model_Bear!$U$40-$H105*Model_Bear!$U$27)*(1+0.035)/($H105-0.035)/(1+$H105)^10)/Model_Bear!$L$50</f>
        <v/>
      </c>
      <c r="J105" s="25" t="n">
        <v>0.174462</v>
      </c>
      <c r="K105" s="6">
        <f>(Model_Base!$L$48+SUMPRODUCT((Model_Base!$L$40:$U$40-$J105*Model_Base!$L$27:$U$27)/(1+$J105)^{1,2,3,4,5,6,7,8,9,10})+(Model_Base!$U$40-$J105*Model_Base!$U$27)*(1+0.04)/($J105-0.04)/(1+$J105)^10)/Model_Base!$L$50</f>
        <v/>
      </c>
      <c r="L105" s="25" t="n">
        <v>0.184269</v>
      </c>
      <c r="M105" s="6">
        <f>(Model_Bull!$L$48+SUMPRODUCT((Model_Bull!$L$40:$U$40-$L105*Model_Bull!$L$27:$U$27)/(1+$L105)^{1,2,3,4,5,6,7,8,9,10})+(Model_Bull!$U$40-$L105*Model_Bull!$U$27)*(1+0.06)/($L105-0.06)/(1+$L105)^10)/Model_Bull!$L$50</f>
        <v/>
      </c>
    </row>
    <row r="106">
      <c r="H106" s="25" t="n">
        <v>0.1695</v>
      </c>
      <c r="I106" s="6">
        <f>(Model_Bear!$L$48+SUMPRODUCT((Model_Bear!$L$40:$U$40-$H106*Model_Bear!$L$27:$U$27)/(1+$H106)^{1,2,3,4,5,6,7,8,9,10})+(Model_Bear!$U$40-$H106*Model_Bear!$U$27)*(1+0.035)/($H106-0.035)/(1+$H106)^10)/Model_Bear!$L$50</f>
        <v/>
      </c>
      <c r="J106" s="25" t="n">
        <v>0.172</v>
      </c>
      <c r="K106" s="6">
        <f>(Model_Base!$L$48+SUMPRODUCT((Model_Base!$L$40:$U$40-$J106*Model_Base!$L$27:$U$27)/(1+$J106)^{1,2,3,4,5,6,7,8,9,10})+(Model_Base!$U$40-$J106*Model_Base!$U$27)*(1+0.04)/($J106-0.04)/(1+$J106)^10)/Model_Base!$L$50</f>
        <v/>
      </c>
      <c r="L106" s="25" t="n">
        <v>0.182</v>
      </c>
      <c r="M106" s="6">
        <f>(Model_Bull!$L$48+SUMPRODUCT((Model_Bull!$L$40:$U$40-$L106*Model_Bull!$L$27:$U$27)/(1+$L106)^{1,2,3,4,5,6,7,8,9,10})+(Model_Bull!$U$40-$L106*Model_Bull!$U$27)*(1+0.06)/($L106-0.06)/(1+$L106)^10)/Model_Bull!$L$50</f>
        <v/>
      </c>
    </row>
    <row r="107">
      <c r="H107" s="25" t="n">
        <v>0.16699</v>
      </c>
      <c r="I107" s="6">
        <f>(Model_Bear!$L$48+SUMPRODUCT((Model_Bear!$L$40:$U$40-$H107*Model_Bear!$L$27:$U$27)/(1+$H107)^{1,2,3,4,5,6,7,8,9,10})+(Model_Bear!$U$40-$H107*Model_Bear!$U$27)*(1+0.035)/($H107-0.035)/(1+$H107)^10)/Model_Bear!$L$50</f>
        <v/>
      </c>
      <c r="J107" s="25" t="n">
        <v>0.169538</v>
      </c>
      <c r="K107" s="6">
        <f>(Model_Base!$L$48+SUMPRODUCT((Model_Base!$L$40:$U$40-$J107*Model_Base!$L$27:$U$27)/(1+$J107)^{1,2,3,4,5,6,7,8,9,10})+(Model_Base!$U$40-$J107*Model_Base!$U$27)*(1+0.04)/($J107-0.04)/(1+$J107)^10)/Model_Base!$L$50</f>
        <v/>
      </c>
      <c r="L107" s="25" t="n">
        <v>0.179731</v>
      </c>
      <c r="M107" s="6">
        <f>(Model_Bull!$L$48+SUMPRODUCT((Model_Bull!$L$40:$U$40-$L107*Model_Bull!$L$27:$U$27)/(1+$L107)^{1,2,3,4,5,6,7,8,9,10})+(Model_Bull!$U$40-$L107*Model_Bull!$U$27)*(1+0.06)/($L107-0.06)/(1+$L107)^10)/Model_Bull!$L$50</f>
        <v/>
      </c>
    </row>
    <row r="108">
      <c r="H108" s="25" t="n">
        <v>0.164481</v>
      </c>
      <c r="I108" s="6">
        <f>(Model_Bear!$L$48+SUMPRODUCT((Model_Bear!$L$40:$U$40-$H108*Model_Bear!$L$27:$U$27)/(1+$H108)^{1,2,3,4,5,6,7,8,9,10})+(Model_Bear!$U$40-$H108*Model_Bear!$U$27)*(1+0.035)/($H108-0.035)/(1+$H108)^10)/Model_Bear!$L$50</f>
        <v/>
      </c>
      <c r="J108" s="25" t="n">
        <v>0.167077</v>
      </c>
      <c r="K108" s="6">
        <f>(Model_Base!$L$48+SUMPRODUCT((Model_Base!$L$40:$U$40-$J108*Model_Base!$L$27:$U$27)/(1+$J108)^{1,2,3,4,5,6,7,8,9,10})+(Model_Base!$U$40-$J108*Model_Base!$U$27)*(1+0.04)/($J108-0.04)/(1+$J108)^10)/Model_Base!$L$50</f>
        <v/>
      </c>
      <c r="L108" s="25" t="n">
        <v>0.177462</v>
      </c>
      <c r="M108" s="6">
        <f>(Model_Bull!$L$48+SUMPRODUCT((Model_Bull!$L$40:$U$40-$L108*Model_Bull!$L$27:$U$27)/(1+$L108)^{1,2,3,4,5,6,7,8,9,10})+(Model_Bull!$U$40-$L108*Model_Bull!$U$27)*(1+0.06)/($L108-0.06)/(1+$L108)^10)/Model_Bull!$L$50</f>
        <v/>
      </c>
    </row>
    <row r="109">
      <c r="H109" s="25" t="n">
        <v>0.161971</v>
      </c>
      <c r="I109" s="6">
        <f>(Model_Bear!$L$48+SUMPRODUCT((Model_Bear!$L$40:$U$40-$H109*Model_Bear!$L$27:$U$27)/(1+$H109)^{1,2,3,4,5,6,7,8,9,10})+(Model_Bear!$U$40-$H109*Model_Bear!$U$27)*(1+0.035)/($H109-0.035)/(1+$H109)^10)/Model_Bear!$L$50</f>
        <v/>
      </c>
      <c r="J109" s="25" t="n">
        <v>0.164615</v>
      </c>
      <c r="K109" s="6">
        <f>(Model_Base!$L$48+SUMPRODUCT((Model_Base!$L$40:$U$40-$J109*Model_Base!$L$27:$U$27)/(1+$J109)^{1,2,3,4,5,6,7,8,9,10})+(Model_Base!$U$40-$J109*Model_Base!$U$27)*(1+0.04)/($J109-0.04)/(1+$J109)^10)/Model_Base!$L$50</f>
        <v/>
      </c>
      <c r="L109" s="25" t="n">
        <v>0.175192</v>
      </c>
      <c r="M109" s="6">
        <f>(Model_Bull!$L$48+SUMPRODUCT((Model_Bull!$L$40:$U$40-$L109*Model_Bull!$L$27:$U$27)/(1+$L109)^{1,2,3,4,5,6,7,8,9,10})+(Model_Bull!$U$40-$L109*Model_Bull!$U$27)*(1+0.06)/($L109-0.06)/(1+$L109)^10)/Model_Bull!$L$50</f>
        <v/>
      </c>
    </row>
    <row r="110">
      <c r="H110" s="25" t="n">
        <v>0.159462</v>
      </c>
      <c r="I110" s="6">
        <f>(Model_Bear!$L$48+SUMPRODUCT((Model_Bear!$L$40:$U$40-$H110*Model_Bear!$L$27:$U$27)/(1+$H110)^{1,2,3,4,5,6,7,8,9,10})+(Model_Bear!$U$40-$H110*Model_Bear!$U$27)*(1+0.035)/($H110-0.035)/(1+$H110)^10)/Model_Bear!$L$50</f>
        <v/>
      </c>
      <c r="J110" s="25" t="n">
        <v>0.162154</v>
      </c>
      <c r="K110" s="6">
        <f>(Model_Base!$L$48+SUMPRODUCT((Model_Base!$L$40:$U$40-$J110*Model_Base!$L$27:$U$27)/(1+$J110)^{1,2,3,4,5,6,7,8,9,10})+(Model_Base!$U$40-$J110*Model_Base!$U$27)*(1+0.04)/($J110-0.04)/(1+$J110)^10)/Model_Base!$L$50</f>
        <v/>
      </c>
      <c r="L110" s="25" t="n">
        <v>0.172923</v>
      </c>
      <c r="M110" s="6">
        <f>(Model_Bull!$L$48+SUMPRODUCT((Model_Bull!$L$40:$U$40-$L110*Model_Bull!$L$27:$U$27)/(1+$L110)^{1,2,3,4,5,6,7,8,9,10})+(Model_Bull!$U$40-$L110*Model_Bull!$U$27)*(1+0.06)/($L110-0.06)/(1+$L110)^10)/Model_Bull!$L$50</f>
        <v/>
      </c>
    </row>
    <row r="111">
      <c r="H111" s="25" t="n">
        <v>0.156952</v>
      </c>
      <c r="I111" s="6">
        <f>(Model_Bear!$L$48+SUMPRODUCT((Model_Bear!$L$40:$U$40-$H111*Model_Bear!$L$27:$U$27)/(1+$H111)^{1,2,3,4,5,6,7,8,9,10})+(Model_Bear!$U$40-$H111*Model_Bear!$U$27)*(1+0.035)/($H111-0.035)/(1+$H111)^10)/Model_Bear!$L$50</f>
        <v/>
      </c>
      <c r="J111" s="25" t="n">
        <v>0.159692</v>
      </c>
      <c r="K111" s="6">
        <f>(Model_Base!$L$48+SUMPRODUCT((Model_Base!$L$40:$U$40-$J111*Model_Base!$L$27:$U$27)/(1+$J111)^{1,2,3,4,5,6,7,8,9,10})+(Model_Base!$U$40-$J111*Model_Base!$U$27)*(1+0.04)/($J111-0.04)/(1+$J111)^10)/Model_Base!$L$50</f>
        <v/>
      </c>
      <c r="L111" s="25" t="n">
        <v>0.170654</v>
      </c>
      <c r="M111" s="6">
        <f>(Model_Bull!$L$48+SUMPRODUCT((Model_Bull!$L$40:$U$40-$L111*Model_Bull!$L$27:$U$27)/(1+$L111)^{1,2,3,4,5,6,7,8,9,10})+(Model_Bull!$U$40-$L111*Model_Bull!$U$27)*(1+0.06)/($L111-0.06)/(1+$L111)^10)/Model_Bull!$L$50</f>
        <v/>
      </c>
    </row>
    <row r="112">
      <c r="H112" s="25" t="n">
        <v>0.154442</v>
      </c>
      <c r="I112" s="6">
        <f>(Model_Bear!$L$48+SUMPRODUCT((Model_Bear!$L$40:$U$40-$H112*Model_Bear!$L$27:$U$27)/(1+$H112)^{1,2,3,4,5,6,7,8,9,10})+(Model_Bear!$U$40-$H112*Model_Bear!$U$27)*(1+0.035)/($H112-0.035)/(1+$H112)^10)/Model_Bear!$L$50</f>
        <v/>
      </c>
      <c r="J112" s="25" t="n">
        <v>0.157231</v>
      </c>
      <c r="K112" s="6">
        <f>(Model_Base!$L$48+SUMPRODUCT((Model_Base!$L$40:$U$40-$J112*Model_Base!$L$27:$U$27)/(1+$J112)^{1,2,3,4,5,6,7,8,9,10})+(Model_Base!$U$40-$J112*Model_Base!$U$27)*(1+0.04)/($J112-0.04)/(1+$J112)^10)/Model_Base!$L$50</f>
        <v/>
      </c>
      <c r="L112" s="25" t="n">
        <v>0.168385</v>
      </c>
      <c r="M112" s="6">
        <f>(Model_Bull!$L$48+SUMPRODUCT((Model_Bull!$L$40:$U$40-$L112*Model_Bull!$L$27:$U$27)/(1+$L112)^{1,2,3,4,5,6,7,8,9,10})+(Model_Bull!$U$40-$L112*Model_Bull!$U$27)*(1+0.06)/($L112-0.06)/(1+$L112)^10)/Model_Bull!$L$50</f>
        <v/>
      </c>
    </row>
    <row r="113">
      <c r="H113" s="25" t="n">
        <v>0.151933</v>
      </c>
      <c r="I113" s="6">
        <f>(Model_Bear!$L$48+SUMPRODUCT((Model_Bear!$L$40:$U$40-$H113*Model_Bear!$L$27:$U$27)/(1+$H113)^{1,2,3,4,5,6,7,8,9,10})+(Model_Bear!$U$40-$H113*Model_Bear!$U$27)*(1+0.035)/($H113-0.035)/(1+$H113)^10)/Model_Bear!$L$50</f>
        <v/>
      </c>
      <c r="J113" s="25" t="n">
        <v>0.154769</v>
      </c>
      <c r="K113" s="6">
        <f>(Model_Base!$L$48+SUMPRODUCT((Model_Base!$L$40:$U$40-$J113*Model_Base!$L$27:$U$27)/(1+$J113)^{1,2,3,4,5,6,7,8,9,10})+(Model_Base!$U$40-$J113*Model_Base!$U$27)*(1+0.04)/($J113-0.04)/(1+$J113)^10)/Model_Base!$L$50</f>
        <v/>
      </c>
      <c r="L113" s="25" t="n">
        <v>0.166115</v>
      </c>
      <c r="M113" s="6">
        <f>(Model_Bull!$L$48+SUMPRODUCT((Model_Bull!$L$40:$U$40-$L113*Model_Bull!$L$27:$U$27)/(1+$L113)^{1,2,3,4,5,6,7,8,9,10})+(Model_Bull!$U$40-$L113*Model_Bull!$U$27)*(1+0.06)/($L113-0.06)/(1+$L113)^10)/Model_Bull!$L$50</f>
        <v/>
      </c>
    </row>
    <row r="114">
      <c r="H114" s="25" t="n">
        <v>0.149423</v>
      </c>
      <c r="I114" s="6">
        <f>(Model_Bear!$L$48+SUMPRODUCT((Model_Bear!$L$40:$U$40-$H114*Model_Bear!$L$27:$U$27)/(1+$H114)^{1,2,3,4,5,6,7,8,9,10})+(Model_Bear!$U$40-$H114*Model_Bear!$U$27)*(1+0.035)/($H114-0.035)/(1+$H114)^10)/Model_Bear!$L$50</f>
        <v/>
      </c>
      <c r="J114" s="25" t="n">
        <v>0.152308</v>
      </c>
      <c r="K114" s="6">
        <f>(Model_Base!$L$48+SUMPRODUCT((Model_Base!$L$40:$U$40-$J114*Model_Base!$L$27:$U$27)/(1+$J114)^{1,2,3,4,5,6,7,8,9,10})+(Model_Base!$U$40-$J114*Model_Base!$U$27)*(1+0.04)/($J114-0.04)/(1+$J114)^10)/Model_Base!$L$50</f>
        <v/>
      </c>
      <c r="L114" s="25" t="n">
        <v>0.163846</v>
      </c>
      <c r="M114" s="6">
        <f>(Model_Bull!$L$48+SUMPRODUCT((Model_Bull!$L$40:$U$40-$L114*Model_Bull!$L$27:$U$27)/(1+$L114)^{1,2,3,4,5,6,7,8,9,10})+(Model_Bull!$U$40-$L114*Model_Bull!$U$27)*(1+0.06)/($L114-0.06)/(1+$L114)^10)/Model_Bull!$L$50</f>
        <v/>
      </c>
    </row>
    <row r="115">
      <c r="H115" s="25" t="n">
        <v>0.146913</v>
      </c>
      <c r="I115" s="6">
        <f>(Model_Bear!$L$48+SUMPRODUCT((Model_Bear!$L$40:$U$40-$H115*Model_Bear!$L$27:$U$27)/(1+$H115)^{1,2,3,4,5,6,7,8,9,10})+(Model_Bear!$U$40-$H115*Model_Bear!$U$27)*(1+0.035)/($H115-0.035)/(1+$H115)^10)/Model_Bear!$L$50</f>
        <v/>
      </c>
      <c r="J115" s="25" t="n">
        <v>0.149846</v>
      </c>
      <c r="K115" s="6">
        <f>(Model_Base!$L$48+SUMPRODUCT((Model_Base!$L$40:$U$40-$J115*Model_Base!$L$27:$U$27)/(1+$J115)^{1,2,3,4,5,6,7,8,9,10})+(Model_Base!$U$40-$J115*Model_Base!$U$27)*(1+0.04)/($J115-0.04)/(1+$J115)^10)/Model_Base!$L$50</f>
        <v/>
      </c>
      <c r="L115" s="25" t="n">
        <v>0.161577</v>
      </c>
      <c r="M115" s="6">
        <f>(Model_Bull!$L$48+SUMPRODUCT((Model_Bull!$L$40:$U$40-$L115*Model_Bull!$L$27:$U$27)/(1+$L115)^{1,2,3,4,5,6,7,8,9,10})+(Model_Bull!$U$40-$L115*Model_Bull!$U$27)*(1+0.06)/($L115-0.06)/(1+$L115)^10)/Model_Bull!$L$50</f>
        <v/>
      </c>
    </row>
    <row r="116">
      <c r="H116" s="25" t="n">
        <v>0.144404</v>
      </c>
      <c r="I116" s="6">
        <f>(Model_Bear!$L$48+SUMPRODUCT((Model_Bear!$L$40:$U$40-$H116*Model_Bear!$L$27:$U$27)/(1+$H116)^{1,2,3,4,5,6,7,8,9,10})+(Model_Bear!$U$40-$H116*Model_Bear!$U$27)*(1+0.035)/($H116-0.035)/(1+$H116)^10)/Model_Bear!$L$50</f>
        <v/>
      </c>
      <c r="J116" s="25" t="n">
        <v>0.147385</v>
      </c>
      <c r="K116" s="6">
        <f>(Model_Base!$L$48+SUMPRODUCT((Model_Base!$L$40:$U$40-$J116*Model_Base!$L$27:$U$27)/(1+$J116)^{1,2,3,4,5,6,7,8,9,10})+(Model_Base!$U$40-$J116*Model_Base!$U$27)*(1+0.04)/($J116-0.04)/(1+$J116)^10)/Model_Base!$L$50</f>
        <v/>
      </c>
      <c r="L116" s="25" t="n">
        <v>0.159308</v>
      </c>
      <c r="M116" s="6">
        <f>(Model_Bull!$L$48+SUMPRODUCT((Model_Bull!$L$40:$U$40-$L116*Model_Bull!$L$27:$U$27)/(1+$L116)^{1,2,3,4,5,6,7,8,9,10})+(Model_Bull!$U$40-$L116*Model_Bull!$U$27)*(1+0.06)/($L116-0.06)/(1+$L116)^10)/Model_Bull!$L$50</f>
        <v/>
      </c>
    </row>
    <row r="117">
      <c r="H117" s="25" t="n">
        <v>0.141894</v>
      </c>
      <c r="I117" s="6">
        <f>(Model_Bear!$L$48+SUMPRODUCT((Model_Bear!$L$40:$U$40-$H117*Model_Bear!$L$27:$U$27)/(1+$H117)^{1,2,3,4,5,6,7,8,9,10})+(Model_Bear!$U$40-$H117*Model_Bear!$U$27)*(1+0.035)/($H117-0.035)/(1+$H117)^10)/Model_Bear!$L$50</f>
        <v/>
      </c>
      <c r="J117" s="25" t="n">
        <v>0.144923</v>
      </c>
      <c r="K117" s="6">
        <f>(Model_Base!$L$48+SUMPRODUCT((Model_Base!$L$40:$U$40-$J117*Model_Base!$L$27:$U$27)/(1+$J117)^{1,2,3,4,5,6,7,8,9,10})+(Model_Base!$U$40-$J117*Model_Base!$U$27)*(1+0.04)/($J117-0.04)/(1+$J117)^10)/Model_Base!$L$50</f>
        <v/>
      </c>
      <c r="L117" s="25" t="n">
        <v>0.157038</v>
      </c>
      <c r="M117" s="6">
        <f>(Model_Bull!$L$48+SUMPRODUCT((Model_Bull!$L$40:$U$40-$L117*Model_Bull!$L$27:$U$27)/(1+$L117)^{1,2,3,4,5,6,7,8,9,10})+(Model_Bull!$U$40-$L117*Model_Bull!$U$27)*(1+0.06)/($L117-0.06)/(1+$L117)^10)/Model_Bull!$L$50</f>
        <v/>
      </c>
    </row>
    <row r="118">
      <c r="H118" s="25" t="n">
        <v>0.139385</v>
      </c>
      <c r="I118" s="6">
        <f>(Model_Bear!$L$48+SUMPRODUCT((Model_Bear!$L$40:$U$40-$H118*Model_Bear!$L$27:$U$27)/(1+$H118)^{1,2,3,4,5,6,7,8,9,10})+(Model_Bear!$U$40-$H118*Model_Bear!$U$27)*(1+0.035)/($H118-0.035)/(1+$H118)^10)/Model_Bear!$L$50</f>
        <v/>
      </c>
      <c r="J118" s="25" t="n">
        <v>0.142462</v>
      </c>
      <c r="K118" s="6">
        <f>(Model_Base!$L$48+SUMPRODUCT((Model_Base!$L$40:$U$40-$J118*Model_Base!$L$27:$U$27)/(1+$J118)^{1,2,3,4,5,6,7,8,9,10})+(Model_Base!$U$40-$J118*Model_Base!$U$27)*(1+0.04)/($J118-0.04)/(1+$J118)^10)/Model_Base!$L$50</f>
        <v/>
      </c>
      <c r="L118" s="25" t="n">
        <v>0.154769</v>
      </c>
      <c r="M118" s="6">
        <f>(Model_Bull!$L$48+SUMPRODUCT((Model_Bull!$L$40:$U$40-$L118*Model_Bull!$L$27:$U$27)/(1+$L118)^{1,2,3,4,5,6,7,8,9,10})+(Model_Bull!$U$40-$L118*Model_Bull!$U$27)*(1+0.06)/($L118-0.06)/(1+$L118)^10)/Model_Bull!$L$50</f>
        <v/>
      </c>
    </row>
    <row r="119">
      <c r="H119" s="25" t="n">
        <v>0.136875</v>
      </c>
      <c r="I119" s="6">
        <f>(Model_Bear!$L$48+SUMPRODUCT((Model_Bear!$L$40:$U$40-$H119*Model_Bear!$L$27:$U$27)/(1+$H119)^{1,2,3,4,5,6,7,8,9,10})+(Model_Bear!$U$40-$H119*Model_Bear!$U$27)*(1+0.035)/($H119-0.035)/(1+$H119)^10)/Model_Bear!$L$50</f>
        <v/>
      </c>
      <c r="J119" s="25" t="n">
        <v>0.14</v>
      </c>
      <c r="K119" s="6">
        <f>(Model_Base!$L$48+SUMPRODUCT((Model_Base!$L$40:$U$40-$J119*Model_Base!$L$27:$U$27)/(1+$J119)^{1,2,3,4,5,6,7,8,9,10})+(Model_Base!$U$40-$J119*Model_Base!$U$27)*(1+0.04)/($J119-0.04)/(1+$J119)^10)/Model_Base!$L$50</f>
        <v/>
      </c>
      <c r="L119" s="25" t="n">
        <v>0.1525</v>
      </c>
      <c r="M119" s="6">
        <f>(Model_Bull!$L$48+SUMPRODUCT((Model_Bull!$L$40:$U$40-$L119*Model_Bull!$L$27:$U$27)/(1+$L119)^{1,2,3,4,5,6,7,8,9,10})+(Model_Bull!$U$40-$L119*Model_Bull!$U$27)*(1+0.06)/($L119-0.06)/(1+$L119)^10)/Model_Bull!$L$50</f>
        <v/>
      </c>
    </row>
    <row r="120">
      <c r="H120" s="25" t="n">
        <v>0.134365</v>
      </c>
      <c r="I120" s="6">
        <f>(Model_Bear!$L$48+SUMPRODUCT((Model_Bear!$L$40:$U$40-$H120*Model_Bear!$L$27:$U$27)/(1+$H120)^{1,2,3,4,5,6,7,8,9,10})+(Model_Bear!$U$40-$H120*Model_Bear!$U$27)*(1+0.035)/($H120-0.035)/(1+$H120)^10)/Model_Bear!$L$50</f>
        <v/>
      </c>
      <c r="J120" s="25" t="n">
        <v>0.137538</v>
      </c>
      <c r="K120" s="6">
        <f>(Model_Base!$L$48+SUMPRODUCT((Model_Base!$L$40:$U$40-$J120*Model_Base!$L$27:$U$27)/(1+$J120)^{1,2,3,4,5,6,7,8,9,10})+(Model_Base!$U$40-$J120*Model_Base!$U$27)*(1+0.04)/($J120-0.04)/(1+$J120)^10)/Model_Base!$L$50</f>
        <v/>
      </c>
      <c r="L120" s="25" t="n">
        <v>0.150231</v>
      </c>
      <c r="M120" s="6">
        <f>(Model_Bull!$L$48+SUMPRODUCT((Model_Bull!$L$40:$U$40-$L120*Model_Bull!$L$27:$U$27)/(1+$L120)^{1,2,3,4,5,6,7,8,9,10})+(Model_Bull!$U$40-$L120*Model_Bull!$U$27)*(1+0.06)/($L120-0.06)/(1+$L120)^10)/Model_Bull!$L$50</f>
        <v/>
      </c>
    </row>
    <row r="121">
      <c r="H121" s="25" t="n">
        <v>0.131856</v>
      </c>
      <c r="I121" s="6">
        <f>(Model_Bear!$L$48+SUMPRODUCT((Model_Bear!$L$40:$U$40-$H121*Model_Bear!$L$27:$U$27)/(1+$H121)^{1,2,3,4,5,6,7,8,9,10})+(Model_Bear!$U$40-$H121*Model_Bear!$U$27)*(1+0.035)/($H121-0.035)/(1+$H121)^10)/Model_Bear!$L$50</f>
        <v/>
      </c>
      <c r="J121" s="25" t="n">
        <v>0.135077</v>
      </c>
      <c r="K121" s="6">
        <f>(Model_Base!$L$48+SUMPRODUCT((Model_Base!$L$40:$U$40-$J121*Model_Base!$L$27:$U$27)/(1+$J121)^{1,2,3,4,5,6,7,8,9,10})+(Model_Base!$U$40-$J121*Model_Base!$U$27)*(1+0.04)/($J121-0.04)/(1+$J121)^10)/Model_Base!$L$50</f>
        <v/>
      </c>
      <c r="L121" s="25" t="n">
        <v>0.147962</v>
      </c>
      <c r="M121" s="6">
        <f>(Model_Bull!$L$48+SUMPRODUCT((Model_Bull!$L$40:$U$40-$L121*Model_Bull!$L$27:$U$27)/(1+$L121)^{1,2,3,4,5,6,7,8,9,10})+(Model_Bull!$U$40-$L121*Model_Bull!$U$27)*(1+0.06)/($L121-0.06)/(1+$L121)^10)/Model_Bull!$L$50</f>
        <v/>
      </c>
    </row>
    <row r="122">
      <c r="H122" s="25" t="n">
        <v>0.129346</v>
      </c>
      <c r="I122" s="6">
        <f>(Model_Bear!$L$48+SUMPRODUCT((Model_Bear!$L$40:$U$40-$H122*Model_Bear!$L$27:$U$27)/(1+$H122)^{1,2,3,4,5,6,7,8,9,10})+(Model_Bear!$U$40-$H122*Model_Bear!$U$27)*(1+0.035)/($H122-0.035)/(1+$H122)^10)/Model_Bear!$L$50</f>
        <v/>
      </c>
      <c r="J122" s="25" t="n">
        <v>0.132615</v>
      </c>
      <c r="K122" s="6">
        <f>(Model_Base!$L$48+SUMPRODUCT((Model_Base!$L$40:$U$40-$J122*Model_Base!$L$27:$U$27)/(1+$J122)^{1,2,3,4,5,6,7,8,9,10})+(Model_Base!$U$40-$J122*Model_Base!$U$27)*(1+0.04)/($J122-0.04)/(1+$J122)^10)/Model_Base!$L$50</f>
        <v/>
      </c>
      <c r="L122" s="25" t="n">
        <v>0.145692</v>
      </c>
      <c r="M122" s="6">
        <f>(Model_Bull!$L$48+SUMPRODUCT((Model_Bull!$L$40:$U$40-$L122*Model_Bull!$L$27:$U$27)/(1+$L122)^{1,2,3,4,5,6,7,8,9,10})+(Model_Bull!$U$40-$L122*Model_Bull!$U$27)*(1+0.06)/($L122-0.06)/(1+$L122)^10)/Model_Bull!$L$50</f>
        <v/>
      </c>
    </row>
    <row r="123">
      <c r="H123" s="25" t="n">
        <v>0.126837</v>
      </c>
      <c r="I123" s="6">
        <f>(Model_Bear!$L$48+SUMPRODUCT((Model_Bear!$L$40:$U$40-$H123*Model_Bear!$L$27:$U$27)/(1+$H123)^{1,2,3,4,5,6,7,8,9,10})+(Model_Bear!$U$40-$H123*Model_Bear!$U$27)*(1+0.035)/($H123-0.035)/(1+$H123)^10)/Model_Bear!$L$50</f>
        <v/>
      </c>
      <c r="J123" s="25" t="n">
        <v>0.130154</v>
      </c>
      <c r="K123" s="6">
        <f>(Model_Base!$L$48+SUMPRODUCT((Model_Base!$L$40:$U$40-$J123*Model_Base!$L$27:$U$27)/(1+$J123)^{1,2,3,4,5,6,7,8,9,10})+(Model_Base!$U$40-$J123*Model_Base!$U$27)*(1+0.04)/($J123-0.04)/(1+$J123)^10)/Model_Base!$L$50</f>
        <v/>
      </c>
      <c r="L123" s="25" t="n">
        <v>0.143423</v>
      </c>
      <c r="M123" s="6">
        <f>(Model_Bull!$L$48+SUMPRODUCT((Model_Bull!$L$40:$U$40-$L123*Model_Bull!$L$27:$U$27)/(1+$L123)^{1,2,3,4,5,6,7,8,9,10})+(Model_Bull!$U$40-$L123*Model_Bull!$U$27)*(1+0.06)/($L123-0.06)/(1+$L123)^10)/Model_Bull!$L$50</f>
        <v/>
      </c>
    </row>
    <row r="124">
      <c r="H124" s="25" t="n">
        <v>0.124327</v>
      </c>
      <c r="I124" s="6">
        <f>(Model_Bear!$L$48+SUMPRODUCT((Model_Bear!$L$40:$U$40-$H124*Model_Bear!$L$27:$U$27)/(1+$H124)^{1,2,3,4,5,6,7,8,9,10})+(Model_Bear!$U$40-$H124*Model_Bear!$U$27)*(1+0.035)/($H124-0.035)/(1+$H124)^10)/Model_Bear!$L$50</f>
        <v/>
      </c>
      <c r="J124" s="25" t="n">
        <v>0.127692</v>
      </c>
      <c r="K124" s="6">
        <f>(Model_Base!$L$48+SUMPRODUCT((Model_Base!$L$40:$U$40-$J124*Model_Base!$L$27:$U$27)/(1+$J124)^{1,2,3,4,5,6,7,8,9,10})+(Model_Base!$U$40-$J124*Model_Base!$U$27)*(1+0.04)/($J124-0.04)/(1+$J124)^10)/Model_Base!$L$50</f>
        <v/>
      </c>
      <c r="L124" s="25" t="n">
        <v>0.141154</v>
      </c>
      <c r="M124" s="6">
        <f>(Model_Bull!$L$48+SUMPRODUCT((Model_Bull!$L$40:$U$40-$L124*Model_Bull!$L$27:$U$27)/(1+$L124)^{1,2,3,4,5,6,7,8,9,10})+(Model_Bull!$U$40-$L124*Model_Bull!$U$27)*(1+0.06)/($L124-0.06)/(1+$L124)^10)/Model_Bull!$L$50</f>
        <v/>
      </c>
    </row>
    <row r="125">
      <c r="H125" s="25" t="n">
        <v>0.121817</v>
      </c>
      <c r="I125" s="6">
        <f>(Model_Bear!$L$48+SUMPRODUCT((Model_Bear!$L$40:$U$40-$H125*Model_Bear!$L$27:$U$27)/(1+$H125)^{1,2,3,4,5,6,7,8,9,10})+(Model_Bear!$U$40-$H125*Model_Bear!$U$27)*(1+0.035)/($H125-0.035)/(1+$H125)^10)/Model_Bear!$L$50</f>
        <v/>
      </c>
      <c r="J125" s="25" t="n">
        <v>0.125231</v>
      </c>
      <c r="K125" s="6">
        <f>(Model_Base!$L$48+SUMPRODUCT((Model_Base!$L$40:$U$40-$J125*Model_Base!$L$27:$U$27)/(1+$J125)^{1,2,3,4,5,6,7,8,9,10})+(Model_Base!$U$40-$J125*Model_Base!$U$27)*(1+0.04)/($J125-0.04)/(1+$J125)^10)/Model_Base!$L$50</f>
        <v/>
      </c>
      <c r="L125" s="25" t="n">
        <v>0.138885</v>
      </c>
      <c r="M125" s="6">
        <f>(Model_Bull!$L$48+SUMPRODUCT((Model_Bull!$L$40:$U$40-$L125*Model_Bull!$L$27:$U$27)/(1+$L125)^{1,2,3,4,5,6,7,8,9,10})+(Model_Bull!$U$40-$L125*Model_Bull!$U$27)*(1+0.06)/($L125-0.06)/(1+$L125)^10)/Model_Bull!$L$50</f>
        <v/>
      </c>
    </row>
    <row r="126">
      <c r="H126" s="25" t="n">
        <v>0.119308</v>
      </c>
      <c r="I126" s="6">
        <f>(Model_Bear!$L$48+SUMPRODUCT((Model_Bear!$L$40:$U$40-$H126*Model_Bear!$L$27:$U$27)/(1+$H126)^{1,2,3,4,5,6,7,8,9,10})+(Model_Bear!$U$40-$H126*Model_Bear!$U$27)*(1+0.035)/($H126-0.035)/(1+$H126)^10)/Model_Bear!$L$50</f>
        <v/>
      </c>
      <c r="J126" s="25" t="n">
        <v>0.122769</v>
      </c>
      <c r="K126" s="6">
        <f>(Model_Base!$L$48+SUMPRODUCT((Model_Base!$L$40:$U$40-$J126*Model_Base!$L$27:$U$27)/(1+$J126)^{1,2,3,4,5,6,7,8,9,10})+(Model_Base!$U$40-$J126*Model_Base!$U$27)*(1+0.04)/($J126-0.04)/(1+$J126)^10)/Model_Base!$L$50</f>
        <v/>
      </c>
      <c r="L126" s="25" t="n">
        <v>0.136615</v>
      </c>
      <c r="M126" s="6">
        <f>(Model_Bull!$L$48+SUMPRODUCT((Model_Bull!$L$40:$U$40-$L126*Model_Bull!$L$27:$U$27)/(1+$L126)^{1,2,3,4,5,6,7,8,9,10})+(Model_Bull!$U$40-$L126*Model_Bull!$U$27)*(1+0.06)/($L126-0.06)/(1+$L126)^10)/Model_Bull!$L$50</f>
        <v/>
      </c>
    </row>
    <row r="127">
      <c r="H127" s="25" t="n">
        <v>0.116798</v>
      </c>
      <c r="I127" s="6">
        <f>(Model_Bear!$L$48+SUMPRODUCT((Model_Bear!$L$40:$U$40-$H127*Model_Bear!$L$27:$U$27)/(1+$H127)^{1,2,3,4,5,6,7,8,9,10})+(Model_Bear!$U$40-$H127*Model_Bear!$U$27)*(1+0.035)/($H127-0.035)/(1+$H127)^10)/Model_Bear!$L$50</f>
        <v/>
      </c>
      <c r="J127" s="25" t="n">
        <v>0.120308</v>
      </c>
      <c r="K127" s="6">
        <f>(Model_Base!$L$48+SUMPRODUCT((Model_Base!$L$40:$U$40-$J127*Model_Base!$L$27:$U$27)/(1+$J127)^{1,2,3,4,5,6,7,8,9,10})+(Model_Base!$U$40-$J127*Model_Base!$U$27)*(1+0.04)/($J127-0.04)/(1+$J127)^10)/Model_Base!$L$50</f>
        <v/>
      </c>
      <c r="L127" s="25" t="n">
        <v>0.134346</v>
      </c>
      <c r="M127" s="6">
        <f>(Model_Bull!$L$48+SUMPRODUCT((Model_Bull!$L$40:$U$40-$L127*Model_Bull!$L$27:$U$27)/(1+$L127)^{1,2,3,4,5,6,7,8,9,10})+(Model_Bull!$U$40-$L127*Model_Bull!$U$27)*(1+0.06)/($L127-0.06)/(1+$L127)^10)/Model_Bull!$L$50</f>
        <v/>
      </c>
    </row>
    <row r="128">
      <c r="H128" s="25" t="n">
        <v>0.114288</v>
      </c>
      <c r="I128" s="6">
        <f>(Model_Bear!$L$48+SUMPRODUCT((Model_Bear!$L$40:$U$40-$H128*Model_Bear!$L$27:$U$27)/(1+$H128)^{1,2,3,4,5,6,7,8,9,10})+(Model_Bear!$U$40-$H128*Model_Bear!$U$27)*(1+0.035)/($H128-0.035)/(1+$H128)^10)/Model_Bear!$L$50</f>
        <v/>
      </c>
      <c r="J128" s="25" t="n">
        <v>0.117846</v>
      </c>
      <c r="K128" s="6">
        <f>(Model_Base!$L$48+SUMPRODUCT((Model_Base!$L$40:$U$40-$J128*Model_Base!$L$27:$U$27)/(1+$J128)^{1,2,3,4,5,6,7,8,9,10})+(Model_Base!$U$40-$J128*Model_Base!$U$27)*(1+0.04)/($J128-0.04)/(1+$J128)^10)/Model_Base!$L$50</f>
        <v/>
      </c>
      <c r="L128" s="25" t="n">
        <v>0.132077</v>
      </c>
      <c r="M128" s="6">
        <f>(Model_Bull!$L$48+SUMPRODUCT((Model_Bull!$L$40:$U$40-$L128*Model_Bull!$L$27:$U$27)/(1+$L128)^{1,2,3,4,5,6,7,8,9,10})+(Model_Bull!$U$40-$L128*Model_Bull!$U$27)*(1+0.06)/($L128-0.06)/(1+$L128)^10)/Model_Bull!$L$50</f>
        <v/>
      </c>
    </row>
    <row r="129">
      <c r="H129" s="25" t="n">
        <v>0.111779</v>
      </c>
      <c r="I129" s="6">
        <f>(Model_Bear!$L$48+SUMPRODUCT((Model_Bear!$L$40:$U$40-$H129*Model_Bear!$L$27:$U$27)/(1+$H129)^{1,2,3,4,5,6,7,8,9,10})+(Model_Bear!$U$40-$H129*Model_Bear!$U$27)*(1+0.035)/($H129-0.035)/(1+$H129)^10)/Model_Bear!$L$50</f>
        <v/>
      </c>
      <c r="J129" s="25" t="n">
        <v>0.115385</v>
      </c>
      <c r="K129" s="6">
        <f>(Model_Base!$L$48+SUMPRODUCT((Model_Base!$L$40:$U$40-$J129*Model_Base!$L$27:$U$27)/(1+$J129)^{1,2,3,4,5,6,7,8,9,10})+(Model_Base!$U$40-$J129*Model_Base!$U$27)*(1+0.04)/($J129-0.04)/(1+$J129)^10)/Model_Base!$L$50</f>
        <v/>
      </c>
      <c r="L129" s="25" t="n">
        <v>0.129808</v>
      </c>
      <c r="M129" s="6">
        <f>(Model_Bull!$L$48+SUMPRODUCT((Model_Bull!$L$40:$U$40-$L129*Model_Bull!$L$27:$U$27)/(1+$L129)^{1,2,3,4,5,6,7,8,9,10})+(Model_Bull!$U$40-$L129*Model_Bull!$U$27)*(1+0.06)/($L129-0.06)/(1+$L129)^10)/Model_Bull!$L$50</f>
        <v/>
      </c>
    </row>
    <row r="130">
      <c r="H130" s="25" t="n">
        <v>0.109269</v>
      </c>
      <c r="I130" s="6">
        <f>(Model_Bear!$L$48+SUMPRODUCT((Model_Bear!$L$40:$U$40-$H130*Model_Bear!$L$27:$U$27)/(1+$H130)^{1,2,3,4,5,6,7,8,9,10})+(Model_Bear!$U$40-$H130*Model_Bear!$U$27)*(1+0.035)/($H130-0.035)/(1+$H130)^10)/Model_Bear!$L$50</f>
        <v/>
      </c>
      <c r="J130" s="25" t="n">
        <v>0.112923</v>
      </c>
      <c r="K130" s="6">
        <f>(Model_Base!$L$48+SUMPRODUCT((Model_Base!$L$40:$U$40-$J130*Model_Base!$L$27:$U$27)/(1+$J130)^{1,2,3,4,5,6,7,8,9,10})+(Model_Base!$U$40-$J130*Model_Base!$U$27)*(1+0.04)/($J130-0.04)/(1+$J130)^10)/Model_Base!$L$50</f>
        <v/>
      </c>
      <c r="L130" s="25" t="n">
        <v>0.127538</v>
      </c>
      <c r="M130" s="6">
        <f>(Model_Bull!$L$48+SUMPRODUCT((Model_Bull!$L$40:$U$40-$L130*Model_Bull!$L$27:$U$27)/(1+$L130)^{1,2,3,4,5,6,7,8,9,10})+(Model_Bull!$U$40-$L130*Model_Bull!$U$27)*(1+0.06)/($L130-0.06)/(1+$L130)^10)/Model_Bull!$L$50</f>
        <v/>
      </c>
    </row>
    <row r="131">
      <c r="H131" s="25" t="n">
        <v>0.10676</v>
      </c>
      <c r="I131" s="6">
        <f>(Model_Bear!$L$48+SUMPRODUCT((Model_Bear!$L$40:$U$40-$H131*Model_Bear!$L$27:$U$27)/(1+$H131)^{1,2,3,4,5,6,7,8,9,10})+(Model_Bear!$U$40-$H131*Model_Bear!$U$27)*(1+0.035)/($H131-0.035)/(1+$H131)^10)/Model_Bear!$L$50</f>
        <v/>
      </c>
      <c r="J131" s="25" t="n">
        <v>0.110462</v>
      </c>
      <c r="K131" s="6">
        <f>(Model_Base!$L$48+SUMPRODUCT((Model_Base!$L$40:$U$40-$J131*Model_Base!$L$27:$U$27)/(1+$J131)^{1,2,3,4,5,6,7,8,9,10})+(Model_Base!$U$40-$J131*Model_Base!$U$27)*(1+0.04)/($J131-0.04)/(1+$J131)^10)/Model_Base!$L$50</f>
        <v/>
      </c>
      <c r="L131" s="25" t="n">
        <v>0.125269</v>
      </c>
      <c r="M131" s="6">
        <f>(Model_Bull!$L$48+SUMPRODUCT((Model_Bull!$L$40:$U$40-$L131*Model_Bull!$L$27:$U$27)/(1+$L131)^{1,2,3,4,5,6,7,8,9,10})+(Model_Bull!$U$40-$L131*Model_Bull!$U$27)*(1+0.06)/($L131-0.06)/(1+$L131)^10)/Model_Bull!$L$50</f>
        <v/>
      </c>
    </row>
    <row r="132">
      <c r="H132" s="25" t="n">
        <v>0.10425</v>
      </c>
      <c r="I132" s="6">
        <f>(Model_Bear!$L$48+SUMPRODUCT((Model_Bear!$L$40:$U$40-$H132*Model_Bear!$L$27:$U$27)/(1+$H132)^{1,2,3,4,5,6,7,8,9,10})+(Model_Bear!$U$40-$H132*Model_Bear!$U$27)*(1+0.035)/($H132-0.035)/(1+$H132)^10)/Model_Bear!$L$50</f>
        <v/>
      </c>
      <c r="J132" s="25" t="n">
        <v>0.108</v>
      </c>
      <c r="K132" s="6">
        <f>(Model_Base!$L$48+SUMPRODUCT((Model_Base!$L$40:$U$40-$J132*Model_Base!$L$27:$U$27)/(1+$J132)^{1,2,3,4,5,6,7,8,9,10})+(Model_Base!$U$40-$J132*Model_Base!$U$27)*(1+0.04)/($J132-0.04)/(1+$J132)^10)/Model_Base!$L$50</f>
        <v/>
      </c>
      <c r="L132" s="25" t="n">
        <v>0.123</v>
      </c>
      <c r="M132" s="6">
        <f>(Model_Bull!$L$48+SUMPRODUCT((Model_Bull!$L$40:$U$40-$L132*Model_Bull!$L$27:$U$27)/(1+$L132)^{1,2,3,4,5,6,7,8,9,10})+(Model_Bull!$U$40-$L132*Model_Bull!$U$27)*(1+0.06)/($L132-0.06)/(1+$L132)^10)/Model_Bull!$L$50</f>
        <v/>
      </c>
    </row>
    <row r="133">
      <c r="H133" s="25" t="n">
        <v>0.10174</v>
      </c>
      <c r="I133" s="6">
        <f>(Model_Bear!$L$48+SUMPRODUCT((Model_Bear!$L$40:$U$40-$H133*Model_Bear!$L$27:$U$27)/(1+$H133)^{1,2,3,4,5,6,7,8,9,10})+(Model_Bear!$U$40-$H133*Model_Bear!$U$27)*(1+0.035)/($H133-0.035)/(1+$H133)^10)/Model_Bear!$L$50</f>
        <v/>
      </c>
      <c r="J133" s="25" t="n">
        <v>0.105538</v>
      </c>
      <c r="K133" s="6">
        <f>(Model_Base!$L$48+SUMPRODUCT((Model_Base!$L$40:$U$40-$J133*Model_Base!$L$27:$U$27)/(1+$J133)^{1,2,3,4,5,6,7,8,9,10})+(Model_Base!$U$40-$J133*Model_Base!$U$27)*(1+0.04)/($J133-0.04)/(1+$J133)^10)/Model_Base!$L$50</f>
        <v/>
      </c>
      <c r="L133" s="25" t="n">
        <v>0.120731</v>
      </c>
      <c r="M133" s="6">
        <f>(Model_Bull!$L$48+SUMPRODUCT((Model_Bull!$L$40:$U$40-$L133*Model_Bull!$L$27:$U$27)/(1+$L133)^{1,2,3,4,5,6,7,8,9,10})+(Model_Bull!$U$40-$L133*Model_Bull!$U$27)*(1+0.06)/($L133-0.06)/(1+$L133)^10)/Model_Bull!$L$50</f>
        <v/>
      </c>
    </row>
    <row r="134">
      <c r="H134" s="25" t="n">
        <v>0.099231</v>
      </c>
      <c r="I134" s="6">
        <f>(Model_Bear!$L$48+SUMPRODUCT((Model_Bear!$L$40:$U$40-$H134*Model_Bear!$L$27:$U$27)/(1+$H134)^{1,2,3,4,5,6,7,8,9,10})+(Model_Bear!$U$40-$H134*Model_Bear!$U$27)*(1+0.035)/($H134-0.035)/(1+$H134)^10)/Model_Bear!$L$50</f>
        <v/>
      </c>
      <c r="J134" s="25" t="n">
        <v>0.103077</v>
      </c>
      <c r="K134" s="6">
        <f>(Model_Base!$L$48+SUMPRODUCT((Model_Base!$L$40:$U$40-$J134*Model_Base!$L$27:$U$27)/(1+$J134)^{1,2,3,4,5,6,7,8,9,10})+(Model_Base!$U$40-$J134*Model_Base!$U$27)*(1+0.04)/($J134-0.04)/(1+$J134)^10)/Model_Base!$L$50</f>
        <v/>
      </c>
      <c r="L134" s="25" t="n">
        <v>0.118462</v>
      </c>
      <c r="M134" s="6">
        <f>(Model_Bull!$L$48+SUMPRODUCT((Model_Bull!$L$40:$U$40-$L134*Model_Bull!$L$27:$U$27)/(1+$L134)^{1,2,3,4,5,6,7,8,9,10})+(Model_Bull!$U$40-$L134*Model_Bull!$U$27)*(1+0.06)/($L134-0.06)/(1+$L134)^10)/Model_Bull!$L$50</f>
        <v/>
      </c>
    </row>
    <row r="135">
      <c r="H135" s="25" t="n">
        <v>0.096721</v>
      </c>
      <c r="I135" s="6">
        <f>(Model_Bear!$L$48+SUMPRODUCT((Model_Bear!$L$40:$U$40-$H135*Model_Bear!$L$27:$U$27)/(1+$H135)^{1,2,3,4,5,6,7,8,9,10})+(Model_Bear!$U$40-$H135*Model_Bear!$U$27)*(1+0.035)/($H135-0.035)/(1+$H135)^10)/Model_Bear!$L$50</f>
        <v/>
      </c>
      <c r="J135" s="25" t="n">
        <v>0.100615</v>
      </c>
      <c r="K135" s="6">
        <f>(Model_Base!$L$48+SUMPRODUCT((Model_Base!$L$40:$U$40-$J135*Model_Base!$L$27:$U$27)/(1+$J135)^{1,2,3,4,5,6,7,8,9,10})+(Model_Base!$U$40-$J135*Model_Base!$U$27)*(1+0.04)/($J135-0.04)/(1+$J135)^10)/Model_Base!$L$50</f>
        <v/>
      </c>
      <c r="L135" s="25" t="n">
        <v>0.116192</v>
      </c>
      <c r="M135" s="6">
        <f>(Model_Bull!$L$48+SUMPRODUCT((Model_Bull!$L$40:$U$40-$L135*Model_Bull!$L$27:$U$27)/(1+$L135)^{1,2,3,4,5,6,7,8,9,10})+(Model_Bull!$U$40-$L135*Model_Bull!$U$27)*(1+0.06)/($L135-0.06)/(1+$L135)^10)/Model_Bull!$L$50</f>
        <v/>
      </c>
    </row>
    <row r="136">
      <c r="H136" s="25" t="n">
        <v>0.094212</v>
      </c>
      <c r="I136" s="6">
        <f>(Model_Bear!$L$48+SUMPRODUCT((Model_Bear!$L$40:$U$40-$H136*Model_Bear!$L$27:$U$27)/(1+$H136)^{1,2,3,4,5,6,7,8,9,10})+(Model_Bear!$U$40-$H136*Model_Bear!$U$27)*(1+0.035)/($H136-0.035)/(1+$H136)^10)/Model_Bear!$L$50</f>
        <v/>
      </c>
      <c r="J136" s="25" t="n">
        <v>0.09815400000000001</v>
      </c>
      <c r="K136" s="6">
        <f>(Model_Base!$L$48+SUMPRODUCT((Model_Base!$L$40:$U$40-$J136*Model_Base!$L$27:$U$27)/(1+$J136)^{1,2,3,4,5,6,7,8,9,10})+(Model_Base!$U$40-$J136*Model_Base!$U$27)*(1+0.04)/($J136-0.04)/(1+$J136)^10)/Model_Base!$L$50</f>
        <v/>
      </c>
      <c r="L136" s="25" t="n">
        <v>0.113923</v>
      </c>
      <c r="M136" s="6">
        <f>(Model_Bull!$L$48+SUMPRODUCT((Model_Bull!$L$40:$U$40-$L136*Model_Bull!$L$27:$U$27)/(1+$L136)^{1,2,3,4,5,6,7,8,9,10})+(Model_Bull!$U$40-$L136*Model_Bull!$U$27)*(1+0.06)/($L136-0.06)/(1+$L136)^10)/Model_Bull!$L$50</f>
        <v/>
      </c>
    </row>
    <row r="137">
      <c r="H137" s="25" t="n">
        <v>0.09170200000000001</v>
      </c>
      <c r="I137" s="6">
        <f>(Model_Bear!$L$48+SUMPRODUCT((Model_Bear!$L$40:$U$40-$H137*Model_Bear!$L$27:$U$27)/(1+$H137)^{1,2,3,4,5,6,7,8,9,10})+(Model_Bear!$U$40-$H137*Model_Bear!$U$27)*(1+0.035)/($H137-0.035)/(1+$H137)^10)/Model_Bear!$L$50</f>
        <v/>
      </c>
      <c r="J137" s="25" t="n">
        <v>0.095692</v>
      </c>
      <c r="K137" s="6">
        <f>(Model_Base!$L$48+SUMPRODUCT((Model_Base!$L$40:$U$40-$J137*Model_Base!$L$27:$U$27)/(1+$J137)^{1,2,3,4,5,6,7,8,9,10})+(Model_Base!$U$40-$J137*Model_Base!$U$27)*(1+0.04)/($J137-0.04)/(1+$J137)^10)/Model_Base!$L$50</f>
        <v/>
      </c>
      <c r="L137" s="25" t="n">
        <v>0.111654</v>
      </c>
      <c r="M137" s="6">
        <f>(Model_Bull!$L$48+SUMPRODUCT((Model_Bull!$L$40:$U$40-$L137*Model_Bull!$L$27:$U$27)/(1+$L137)^{1,2,3,4,5,6,7,8,9,10})+(Model_Bull!$U$40-$L137*Model_Bull!$U$27)*(1+0.06)/($L137-0.06)/(1+$L137)^10)/Model_Bull!$L$50</f>
        <v/>
      </c>
    </row>
    <row r="138">
      <c r="H138" s="25" t="n">
        <v>0.08919199999999999</v>
      </c>
      <c r="I138" s="6">
        <f>(Model_Bear!$L$48+SUMPRODUCT((Model_Bear!$L$40:$U$40-$H138*Model_Bear!$L$27:$U$27)/(1+$H138)^{1,2,3,4,5,6,7,8,9,10})+(Model_Bear!$U$40-$H138*Model_Bear!$U$27)*(1+0.035)/($H138-0.035)/(1+$H138)^10)/Model_Bear!$L$50</f>
        <v/>
      </c>
      <c r="J138" s="25" t="n">
        <v>0.09323099999999999</v>
      </c>
      <c r="K138" s="6">
        <f>(Model_Base!$L$48+SUMPRODUCT((Model_Base!$L$40:$U$40-$J138*Model_Base!$L$27:$U$27)/(1+$J138)^{1,2,3,4,5,6,7,8,9,10})+(Model_Base!$U$40-$J138*Model_Base!$U$27)*(1+0.04)/($J138-0.04)/(1+$J138)^10)/Model_Base!$L$50</f>
        <v/>
      </c>
      <c r="L138" s="25" t="n">
        <v>0.109385</v>
      </c>
      <c r="M138" s="6">
        <f>(Model_Bull!$L$48+SUMPRODUCT((Model_Bull!$L$40:$U$40-$L138*Model_Bull!$L$27:$U$27)/(1+$L138)^{1,2,3,4,5,6,7,8,9,10})+(Model_Bull!$U$40-$L138*Model_Bull!$U$27)*(1+0.06)/($L138-0.06)/(1+$L138)^10)/Model_Bull!$L$50</f>
        <v/>
      </c>
    </row>
    <row r="139">
      <c r="H139" s="25" t="n">
        <v>0.086683</v>
      </c>
      <c r="I139" s="6">
        <f>(Model_Bear!$L$48+SUMPRODUCT((Model_Bear!$L$40:$U$40-$H139*Model_Bear!$L$27:$U$27)/(1+$H139)^{1,2,3,4,5,6,7,8,9,10})+(Model_Bear!$U$40-$H139*Model_Bear!$U$27)*(1+0.035)/($H139-0.035)/(1+$H139)^10)/Model_Bear!$L$50</f>
        <v/>
      </c>
      <c r="J139" s="25" t="n">
        <v>0.090769</v>
      </c>
      <c r="K139" s="6">
        <f>(Model_Base!$L$48+SUMPRODUCT((Model_Base!$L$40:$U$40-$J139*Model_Base!$L$27:$U$27)/(1+$J139)^{1,2,3,4,5,6,7,8,9,10})+(Model_Base!$U$40-$J139*Model_Base!$U$27)*(1+0.04)/($J139-0.04)/(1+$J139)^10)/Model_Base!$L$50</f>
        <v/>
      </c>
      <c r="L139" s="25" t="n">
        <v>0.107115</v>
      </c>
      <c r="M139" s="6">
        <f>(Model_Bull!$L$48+SUMPRODUCT((Model_Bull!$L$40:$U$40-$L139*Model_Bull!$L$27:$U$27)/(1+$L139)^{1,2,3,4,5,6,7,8,9,10})+(Model_Bull!$U$40-$L139*Model_Bull!$U$27)*(1+0.06)/($L139-0.06)/(1+$L139)^10)/Model_Bull!$L$50</f>
        <v/>
      </c>
    </row>
    <row r="140">
      <c r="H140" s="25" t="n">
        <v>0.084173</v>
      </c>
      <c r="I140" s="6">
        <f>(Model_Bear!$L$48+SUMPRODUCT((Model_Bear!$L$40:$U$40-$H140*Model_Bear!$L$27:$U$27)/(1+$H140)^{1,2,3,4,5,6,7,8,9,10})+(Model_Bear!$U$40-$H140*Model_Bear!$U$27)*(1+0.035)/($H140-0.035)/(1+$H140)^10)/Model_Bear!$L$50</f>
        <v/>
      </c>
      <c r="J140" s="25" t="n">
        <v>0.088308</v>
      </c>
      <c r="K140" s="6">
        <f>(Model_Base!$L$48+SUMPRODUCT((Model_Base!$L$40:$U$40-$J140*Model_Base!$L$27:$U$27)/(1+$J140)^{1,2,3,4,5,6,7,8,9,10})+(Model_Base!$U$40-$J140*Model_Base!$U$27)*(1+0.04)/($J140-0.04)/(1+$J140)^10)/Model_Base!$L$50</f>
        <v/>
      </c>
      <c r="L140" s="25" t="n">
        <v>0.104846</v>
      </c>
      <c r="M140" s="6">
        <f>(Model_Bull!$L$48+SUMPRODUCT((Model_Bull!$L$40:$U$40-$L140*Model_Bull!$L$27:$U$27)/(1+$L140)^{1,2,3,4,5,6,7,8,9,10})+(Model_Bull!$U$40-$L140*Model_Bull!$U$27)*(1+0.06)/($L140-0.06)/(1+$L140)^10)/Model_Bull!$L$50</f>
        <v/>
      </c>
    </row>
    <row r="141">
      <c r="H141" s="25" t="n">
        <v>0.081663</v>
      </c>
      <c r="I141" s="6">
        <f>(Model_Bear!$L$48+SUMPRODUCT((Model_Bear!$L$40:$U$40-$H141*Model_Bear!$L$27:$U$27)/(1+$H141)^{1,2,3,4,5,6,7,8,9,10})+(Model_Bear!$U$40-$H141*Model_Bear!$U$27)*(1+0.035)/($H141-0.035)/(1+$H141)^10)/Model_Bear!$L$50</f>
        <v/>
      </c>
      <c r="J141" s="25" t="n">
        <v>0.08584600000000001</v>
      </c>
      <c r="K141" s="6">
        <f>(Model_Base!$L$48+SUMPRODUCT((Model_Base!$L$40:$U$40-$J141*Model_Base!$L$27:$U$27)/(1+$J141)^{1,2,3,4,5,6,7,8,9,10})+(Model_Base!$U$40-$J141*Model_Base!$U$27)*(1+0.04)/($J141-0.04)/(1+$J141)^10)/Model_Base!$L$50</f>
        <v/>
      </c>
      <c r="L141" s="25" t="n">
        <v>0.102577</v>
      </c>
      <c r="M141" s="6">
        <f>(Model_Bull!$L$48+SUMPRODUCT((Model_Bull!$L$40:$U$40-$L141*Model_Bull!$L$27:$U$27)/(1+$L141)^{1,2,3,4,5,6,7,8,9,10})+(Model_Bull!$U$40-$L141*Model_Bull!$U$27)*(1+0.06)/($L141-0.06)/(1+$L141)^10)/Model_Bull!$L$50</f>
        <v/>
      </c>
    </row>
    <row r="142">
      <c r="H142" s="25" t="n">
        <v>0.079154</v>
      </c>
      <c r="I142" s="6">
        <f>(Model_Bear!$L$48+SUMPRODUCT((Model_Bear!$L$40:$U$40-$H142*Model_Bear!$L$27:$U$27)/(1+$H142)^{1,2,3,4,5,6,7,8,9,10})+(Model_Bear!$U$40-$H142*Model_Bear!$U$27)*(1+0.035)/($H142-0.035)/(1+$H142)^10)/Model_Bear!$L$50</f>
        <v/>
      </c>
      <c r="J142" s="25" t="n">
        <v>0.083385</v>
      </c>
      <c r="K142" s="6">
        <f>(Model_Base!$L$48+SUMPRODUCT((Model_Base!$L$40:$U$40-$J142*Model_Base!$L$27:$U$27)/(1+$J142)^{1,2,3,4,5,6,7,8,9,10})+(Model_Base!$U$40-$J142*Model_Base!$U$27)*(1+0.04)/($J142-0.04)/(1+$J142)^10)/Model_Base!$L$50</f>
        <v/>
      </c>
      <c r="L142" s="25" t="n">
        <v>0.100308</v>
      </c>
      <c r="M142" s="6">
        <f>(Model_Bull!$L$48+SUMPRODUCT((Model_Bull!$L$40:$U$40-$L142*Model_Bull!$L$27:$U$27)/(1+$L142)^{1,2,3,4,5,6,7,8,9,10})+(Model_Bull!$U$40-$L142*Model_Bull!$U$27)*(1+0.06)/($L142-0.06)/(1+$L142)^10)/Model_Bull!$L$50</f>
        <v/>
      </c>
    </row>
    <row r="143">
      <c r="H143" s="25" t="n">
        <v>0.076644</v>
      </c>
      <c r="I143" s="6">
        <f>(Model_Bear!$L$48+SUMPRODUCT((Model_Bear!$L$40:$U$40-$H143*Model_Bear!$L$27:$U$27)/(1+$H143)^{1,2,3,4,5,6,7,8,9,10})+(Model_Bear!$U$40-$H143*Model_Bear!$U$27)*(1+0.035)/($H143-0.035)/(1+$H143)^10)/Model_Bear!$L$50</f>
        <v/>
      </c>
      <c r="J143" s="25" t="n">
        <v>0.08092299999999999</v>
      </c>
      <c r="K143" s="6">
        <f>(Model_Base!$L$48+SUMPRODUCT((Model_Base!$L$40:$U$40-$J143*Model_Base!$L$27:$U$27)/(1+$J143)^{1,2,3,4,5,6,7,8,9,10})+(Model_Base!$U$40-$J143*Model_Base!$U$27)*(1+0.04)/($J143-0.04)/(1+$J143)^10)/Model_Base!$L$50</f>
        <v/>
      </c>
      <c r="L143" s="25" t="n">
        <v>0.098038</v>
      </c>
      <c r="M143" s="6">
        <f>(Model_Bull!$L$48+SUMPRODUCT((Model_Bull!$L$40:$U$40-$L143*Model_Bull!$L$27:$U$27)/(1+$L143)^{1,2,3,4,5,6,7,8,9,10})+(Model_Bull!$U$40-$L143*Model_Bull!$U$27)*(1+0.06)/($L143-0.06)/(1+$L143)^10)/Model_Bull!$L$50</f>
        <v/>
      </c>
    </row>
    <row r="144">
      <c r="H144" s="25" t="n">
        <v>0.07413500000000001</v>
      </c>
      <c r="I144" s="6">
        <f>(Model_Bear!$L$48+SUMPRODUCT((Model_Bear!$L$40:$U$40-$H144*Model_Bear!$L$27:$U$27)/(1+$H144)^{1,2,3,4,5,6,7,8,9,10})+(Model_Bear!$U$40-$H144*Model_Bear!$U$27)*(1+0.035)/($H144-0.035)/(1+$H144)^10)/Model_Bear!$L$50</f>
        <v/>
      </c>
      <c r="J144" s="25" t="n">
        <v>0.078462</v>
      </c>
      <c r="K144" s="6">
        <f>(Model_Base!$L$48+SUMPRODUCT((Model_Base!$L$40:$U$40-$J144*Model_Base!$L$27:$U$27)/(1+$J144)^{1,2,3,4,5,6,7,8,9,10})+(Model_Base!$U$40-$J144*Model_Base!$U$27)*(1+0.04)/($J144-0.04)/(1+$J144)^10)/Model_Base!$L$50</f>
        <v/>
      </c>
      <c r="L144" s="25" t="n">
        <v>0.09576900000000001</v>
      </c>
      <c r="M144" s="6">
        <f>(Model_Bull!$L$48+SUMPRODUCT((Model_Bull!$L$40:$U$40-$L144*Model_Bull!$L$27:$U$27)/(1+$L144)^{1,2,3,4,5,6,7,8,9,10})+(Model_Bull!$U$40-$L144*Model_Bull!$U$27)*(1+0.06)/($L144-0.06)/(1+$L144)^10)/Model_Bull!$L$50</f>
        <v/>
      </c>
    </row>
    <row r="145">
      <c r="H145" s="25" t="n">
        <v>0.07162499999999999</v>
      </c>
      <c r="I145" s="6">
        <f>(Model_Bear!$L$48+SUMPRODUCT((Model_Bear!$L$40:$U$40-$H145*Model_Bear!$L$27:$U$27)/(1+$H145)^{1,2,3,4,5,6,7,8,9,10})+(Model_Bear!$U$40-$H145*Model_Bear!$U$27)*(1+0.035)/($H145-0.035)/(1+$H145)^10)/Model_Bear!$L$50</f>
        <v/>
      </c>
      <c r="J145" s="25" t="n">
        <v>0.076</v>
      </c>
      <c r="K145" s="6">
        <f>(Model_Base!$L$48+SUMPRODUCT((Model_Base!$L$40:$U$40-$J145*Model_Base!$L$27:$U$27)/(1+$J145)^{1,2,3,4,5,6,7,8,9,10})+(Model_Base!$U$40-$J145*Model_Base!$U$27)*(1+0.04)/($J145-0.04)/(1+$J145)^10)/Model_Base!$L$50</f>
        <v/>
      </c>
      <c r="L145" s="25" t="n">
        <v>0.0935</v>
      </c>
      <c r="M145" s="6">
        <f>(Model_Bull!$L$48+SUMPRODUCT((Model_Bull!$L$40:$U$40-$L145*Model_Bull!$L$27:$U$27)/(1+$L145)^{1,2,3,4,5,6,7,8,9,10})+(Model_Bull!$U$40-$L145*Model_Bull!$U$27)*(1+0.06)/($L145-0.06)/(1+$L145)^10)/Model_Bull!$L$50</f>
        <v/>
      </c>
    </row>
    <row r="146">
      <c r="H146" s="25" t="n">
        <v>0.069115</v>
      </c>
      <c r="I146" s="6">
        <f>(Model_Bear!$L$48+SUMPRODUCT((Model_Bear!$L$40:$U$40-$H146*Model_Bear!$L$27:$U$27)/(1+$H146)^{1,2,3,4,5,6,7,8,9,10})+(Model_Bear!$U$40-$H146*Model_Bear!$U$27)*(1+0.035)/($H146-0.035)/(1+$H146)^10)/Model_Bear!$L$50</f>
        <v/>
      </c>
      <c r="J146" s="25" t="n">
        <v>0.07353800000000001</v>
      </c>
      <c r="K146" s="6">
        <f>(Model_Base!$L$48+SUMPRODUCT((Model_Base!$L$40:$U$40-$J146*Model_Base!$L$27:$U$27)/(1+$J146)^{1,2,3,4,5,6,7,8,9,10})+(Model_Base!$U$40-$J146*Model_Base!$U$27)*(1+0.04)/($J146-0.04)/(1+$J146)^10)/Model_Base!$L$50</f>
        <v/>
      </c>
      <c r="L146" s="25" t="n">
        <v>0.09123100000000001</v>
      </c>
      <c r="M146" s="6">
        <f>(Model_Bull!$L$48+SUMPRODUCT((Model_Bull!$L$40:$U$40-$L146*Model_Bull!$L$27:$U$27)/(1+$L146)^{1,2,3,4,5,6,7,8,9,10})+(Model_Bull!$U$40-$L146*Model_Bull!$U$27)*(1+0.06)/($L146-0.06)/(1+$L146)^10)/Model_Bull!$L$50</f>
        <v/>
      </c>
    </row>
    <row r="147">
      <c r="H147" s="25" t="n">
        <v>0.066606</v>
      </c>
      <c r="I147" s="6">
        <f>(Model_Bear!$L$48+SUMPRODUCT((Model_Bear!$L$40:$U$40-$H147*Model_Bear!$L$27:$U$27)/(1+$H147)^{1,2,3,4,5,6,7,8,9,10})+(Model_Bear!$U$40-$H147*Model_Bear!$U$27)*(1+0.035)/($H147-0.035)/(1+$H147)^10)/Model_Bear!$L$50</f>
        <v/>
      </c>
      <c r="J147" s="25" t="n">
        <v>0.071077</v>
      </c>
      <c r="K147" s="6">
        <f>(Model_Base!$L$48+SUMPRODUCT((Model_Base!$L$40:$U$40-$J147*Model_Base!$L$27:$U$27)/(1+$J147)^{1,2,3,4,5,6,7,8,9,10})+(Model_Base!$U$40-$J147*Model_Base!$U$27)*(1+0.04)/($J147-0.04)/(1+$J147)^10)/Model_Base!$L$50</f>
        <v/>
      </c>
      <c r="L147" s="25" t="n">
        <v>0.088962</v>
      </c>
      <c r="M147" s="6">
        <f>(Model_Bull!$L$48+SUMPRODUCT((Model_Bull!$L$40:$U$40-$L147*Model_Bull!$L$27:$U$27)/(1+$L147)^{1,2,3,4,5,6,7,8,9,10})+(Model_Bull!$U$40-$L147*Model_Bull!$U$27)*(1+0.06)/($L147-0.06)/(1+$L147)^10)/Model_Bull!$L$50</f>
        <v/>
      </c>
    </row>
    <row r="148">
      <c r="H148" s="25" t="n">
        <v>0.064096</v>
      </c>
      <c r="I148" s="6">
        <f>(Model_Bear!$L$48+SUMPRODUCT((Model_Bear!$L$40:$U$40-$H148*Model_Bear!$L$27:$U$27)/(1+$H148)^{1,2,3,4,5,6,7,8,9,10})+(Model_Bear!$U$40-$H148*Model_Bear!$U$27)*(1+0.035)/($H148-0.035)/(1+$H148)^10)/Model_Bear!$L$50</f>
        <v/>
      </c>
      <c r="J148" s="25" t="n">
        <v>0.068615</v>
      </c>
      <c r="K148" s="6">
        <f>(Model_Base!$L$48+SUMPRODUCT((Model_Base!$L$40:$U$40-$J148*Model_Base!$L$27:$U$27)/(1+$J148)^{1,2,3,4,5,6,7,8,9,10})+(Model_Base!$U$40-$J148*Model_Base!$U$27)*(1+0.04)/($J148-0.04)/(1+$J148)^10)/Model_Base!$L$50</f>
        <v/>
      </c>
      <c r="L148" s="25" t="n">
        <v>0.08669200000000001</v>
      </c>
      <c r="M148" s="6">
        <f>(Model_Bull!$L$48+SUMPRODUCT((Model_Bull!$L$40:$U$40-$L148*Model_Bull!$L$27:$U$27)/(1+$L148)^{1,2,3,4,5,6,7,8,9,10})+(Model_Bull!$U$40-$L148*Model_Bull!$U$27)*(1+0.06)/($L148-0.06)/(1+$L148)^10)/Model_Bull!$L$50</f>
        <v/>
      </c>
    </row>
    <row r="149">
      <c r="H149" s="25" t="n">
        <v>0.061587</v>
      </c>
      <c r="I149" s="6">
        <f>(Model_Bear!$L$48+SUMPRODUCT((Model_Bear!$L$40:$U$40-$H149*Model_Bear!$L$27:$U$27)/(1+$H149)^{1,2,3,4,5,6,7,8,9,10})+(Model_Bear!$U$40-$H149*Model_Bear!$U$27)*(1+0.035)/($H149-0.035)/(1+$H149)^10)/Model_Bear!$L$50</f>
        <v/>
      </c>
      <c r="J149" s="25" t="n">
        <v>0.066154</v>
      </c>
      <c r="K149" s="6">
        <f>(Model_Base!$L$48+SUMPRODUCT((Model_Base!$L$40:$U$40-$J149*Model_Base!$L$27:$U$27)/(1+$J149)^{1,2,3,4,5,6,7,8,9,10})+(Model_Base!$U$40-$J149*Model_Base!$U$27)*(1+0.04)/($J149-0.04)/(1+$J149)^10)/Model_Base!$L$50</f>
        <v/>
      </c>
      <c r="L149" s="25" t="n">
        <v>0.084423</v>
      </c>
      <c r="M149" s="6">
        <f>(Model_Bull!$L$48+SUMPRODUCT((Model_Bull!$L$40:$U$40-$L149*Model_Bull!$L$27:$U$27)/(1+$L149)^{1,2,3,4,5,6,7,8,9,10})+(Model_Bull!$U$40-$L149*Model_Bull!$U$27)*(1+0.06)/($L149-0.06)/(1+$L149)^10)/Model_Bull!$L$50</f>
        <v/>
      </c>
    </row>
    <row r="150">
      <c r="H150" s="25" t="n">
        <v>0.059077</v>
      </c>
      <c r="I150" s="6">
        <f>(Model_Bear!$L$48+SUMPRODUCT((Model_Bear!$L$40:$U$40-$H150*Model_Bear!$L$27:$U$27)/(1+$H150)^{1,2,3,4,5,6,7,8,9,10})+(Model_Bear!$U$40-$H150*Model_Bear!$U$27)*(1+0.035)/($H150-0.035)/(1+$H150)^10)/Model_Bear!$L$50</f>
        <v/>
      </c>
      <c r="J150" s="25" t="n">
        <v>0.063692</v>
      </c>
      <c r="K150" s="6">
        <f>(Model_Base!$L$48+SUMPRODUCT((Model_Base!$L$40:$U$40-$J150*Model_Base!$L$27:$U$27)/(1+$J150)^{1,2,3,4,5,6,7,8,9,10})+(Model_Base!$U$40-$J150*Model_Base!$U$27)*(1+0.04)/($J150-0.04)/(1+$J150)^10)/Model_Base!$L$50</f>
        <v/>
      </c>
      <c r="L150" s="25" t="n">
        <v>0.082154</v>
      </c>
      <c r="M150" s="6">
        <f>(Model_Bull!$L$48+SUMPRODUCT((Model_Bull!$L$40:$U$40-$L150*Model_Bull!$L$27:$U$27)/(1+$L150)^{1,2,3,4,5,6,7,8,9,10})+(Model_Bull!$U$40-$L150*Model_Bull!$U$27)*(1+0.06)/($L150-0.06)/(1+$L150)^10)/Model_Bull!$L$50</f>
        <v/>
      </c>
    </row>
    <row r="151">
      <c r="H151" s="25" t="n">
        <v>0.056567</v>
      </c>
      <c r="I151" s="6">
        <f>(Model_Bear!$L$48+SUMPRODUCT((Model_Bear!$L$40:$U$40-$H151*Model_Bear!$L$27:$U$27)/(1+$H151)^{1,2,3,4,5,6,7,8,9,10})+(Model_Bear!$U$40-$H151*Model_Bear!$U$27)*(1+0.035)/($H151-0.035)/(1+$H151)^10)/Model_Bear!$L$50</f>
        <v/>
      </c>
      <c r="J151" s="25" t="n">
        <v>0.061231</v>
      </c>
      <c r="K151" s="6">
        <f>(Model_Base!$L$48+SUMPRODUCT((Model_Base!$L$40:$U$40-$J151*Model_Base!$L$27:$U$27)/(1+$J151)^{1,2,3,4,5,6,7,8,9,10})+(Model_Base!$U$40-$J151*Model_Base!$U$27)*(1+0.04)/($J151-0.04)/(1+$J151)^10)/Model_Base!$L$50</f>
        <v/>
      </c>
      <c r="L151" s="25" t="n">
        <v>0.079885</v>
      </c>
      <c r="M151" s="6">
        <f>(Model_Bull!$L$48+SUMPRODUCT((Model_Bull!$L$40:$U$40-$L151*Model_Bull!$L$27:$U$27)/(1+$L151)^{1,2,3,4,5,6,7,8,9,10})+(Model_Bull!$U$40-$L151*Model_Bull!$U$27)*(1+0.06)/($L151-0.06)/(1+$L151)^10)/Model_Bull!$L$50</f>
        <v/>
      </c>
    </row>
    <row r="152">
      <c r="H152" s="25" t="n">
        <v>0.054058</v>
      </c>
      <c r="I152" s="6">
        <f>(Model_Bear!$L$48+SUMPRODUCT((Model_Bear!$L$40:$U$40-$H152*Model_Bear!$L$27:$U$27)/(1+$H152)^{1,2,3,4,5,6,7,8,9,10})+(Model_Bear!$U$40-$H152*Model_Bear!$U$27)*(1+0.035)/($H152-0.035)/(1+$H152)^10)/Model_Bear!$L$50</f>
        <v/>
      </c>
      <c r="J152" s="25" t="n">
        <v>0.058769</v>
      </c>
      <c r="K152" s="6">
        <f>(Model_Base!$L$48+SUMPRODUCT((Model_Base!$L$40:$U$40-$J152*Model_Base!$L$27:$U$27)/(1+$J152)^{1,2,3,4,5,6,7,8,9,10})+(Model_Base!$U$40-$J152*Model_Base!$U$27)*(1+0.04)/($J152-0.04)/(1+$J152)^10)/Model_Base!$L$50</f>
        <v/>
      </c>
      <c r="L152" s="25" t="n">
        <v>0.077615</v>
      </c>
      <c r="M152" s="6">
        <f>(Model_Bull!$L$48+SUMPRODUCT((Model_Bull!$L$40:$U$40-$L152*Model_Bull!$L$27:$U$27)/(1+$L152)^{1,2,3,4,5,6,7,8,9,10})+(Model_Bull!$U$40-$L152*Model_Bull!$U$27)*(1+0.06)/($L152-0.06)/(1+$L152)^10)/Model_Bull!$L$50</f>
        <v/>
      </c>
    </row>
    <row r="153">
      <c r="H153" s="25" t="n">
        <v>0.051548</v>
      </c>
      <c r="I153" s="6">
        <f>(Model_Bear!$L$48+SUMPRODUCT((Model_Bear!$L$40:$U$40-$H153*Model_Bear!$L$27:$U$27)/(1+$H153)^{1,2,3,4,5,6,7,8,9,10})+(Model_Bear!$U$40-$H153*Model_Bear!$U$27)*(1+0.035)/($H153-0.035)/(1+$H153)^10)/Model_Bear!$L$50</f>
        <v/>
      </c>
      <c r="J153" s="25" t="n">
        <v>0.056308</v>
      </c>
      <c r="K153" s="6">
        <f>(Model_Base!$L$48+SUMPRODUCT((Model_Base!$L$40:$U$40-$J153*Model_Base!$L$27:$U$27)/(1+$J153)^{1,2,3,4,5,6,7,8,9,10})+(Model_Base!$U$40-$J153*Model_Base!$U$27)*(1+0.04)/($J153-0.04)/(1+$J153)^10)/Model_Base!$L$50</f>
        <v/>
      </c>
      <c r="L153" s="25" t="n">
        <v>0.075346</v>
      </c>
      <c r="M153" s="6">
        <f>(Model_Bull!$L$48+SUMPRODUCT((Model_Bull!$L$40:$U$40-$L153*Model_Bull!$L$27:$U$27)/(1+$L153)^{1,2,3,4,5,6,7,8,9,10})+(Model_Bull!$U$40-$L153*Model_Bull!$U$27)*(1+0.06)/($L153-0.06)/(1+$L153)^10)/Model_Bull!$L$50</f>
        <v/>
      </c>
    </row>
    <row r="154">
      <c r="H154" s="25" t="n">
        <v>0.049038</v>
      </c>
      <c r="I154" s="6">
        <f>(Model_Bear!$L$48+SUMPRODUCT((Model_Bear!$L$40:$U$40-$H154*Model_Bear!$L$27:$U$27)/(1+$H154)^{1,2,3,4,5,6,7,8,9,10})+(Model_Bear!$U$40-$H154*Model_Bear!$U$27)*(1+0.035)/($H154-0.035)/(1+$H154)^10)/Model_Bear!$L$50</f>
        <v/>
      </c>
      <c r="J154" s="25" t="n">
        <v>0.053846</v>
      </c>
      <c r="K154" s="6">
        <f>(Model_Base!$L$48+SUMPRODUCT((Model_Base!$L$40:$U$40-$J154*Model_Base!$L$27:$U$27)/(1+$J154)^{1,2,3,4,5,6,7,8,9,10})+(Model_Base!$U$40-$J154*Model_Base!$U$27)*(1+0.04)/($J154-0.04)/(1+$J154)^10)/Model_Base!$L$50</f>
        <v/>
      </c>
      <c r="L154" s="25" t="n">
        <v>0.073077</v>
      </c>
      <c r="M154" s="6">
        <f>(Model_Bull!$L$48+SUMPRODUCT((Model_Bull!$L$40:$U$40-$L154*Model_Bull!$L$27:$U$27)/(1+$L154)^{1,2,3,4,5,6,7,8,9,10})+(Model_Bull!$U$40-$L154*Model_Bull!$U$27)*(1+0.06)/($L154-0.06)/(1+$L154)^10)/Model_Bull!$L$50</f>
        <v/>
      </c>
    </row>
    <row r="155">
      <c r="H155" s="25" t="n">
        <v>0.046529</v>
      </c>
      <c r="I155" s="6">
        <f>(Model_Bear!$L$48+SUMPRODUCT((Model_Bear!$L$40:$U$40-$H155*Model_Bear!$L$27:$U$27)/(1+$H155)^{1,2,3,4,5,6,7,8,9,10})+(Model_Bear!$U$40-$H155*Model_Bear!$U$27)*(1+0.035)/($H155-0.035)/(1+$H155)^10)/Model_Bear!$L$50</f>
        <v/>
      </c>
      <c r="J155" s="25" t="n">
        <v>0.051385</v>
      </c>
      <c r="K155" s="6">
        <f>(Model_Base!$L$48+SUMPRODUCT((Model_Base!$L$40:$U$40-$J155*Model_Base!$L$27:$U$27)/(1+$J155)^{1,2,3,4,5,6,7,8,9,10})+(Model_Base!$U$40-$J155*Model_Base!$U$27)*(1+0.04)/($J155-0.04)/(1+$J155)^10)/Model_Base!$L$50</f>
        <v/>
      </c>
      <c r="L155" s="25" t="n">
        <v>0.070808</v>
      </c>
      <c r="M155" s="6">
        <f>(Model_Bull!$L$48+SUMPRODUCT((Model_Bull!$L$40:$U$40-$L155*Model_Bull!$L$27:$U$27)/(1+$L155)^{1,2,3,4,5,6,7,8,9,10})+(Model_Bull!$U$40-$L155*Model_Bull!$U$27)*(1+0.06)/($L155-0.06)/(1+$L155)^10)/Model_Bull!$L$50</f>
        <v/>
      </c>
    </row>
    <row r="156">
      <c r="H156" s="25" t="n">
        <v>0.044019</v>
      </c>
      <c r="I156" s="6">
        <f>(Model_Bear!$L$48+SUMPRODUCT((Model_Bear!$L$40:$U$40-$H156*Model_Bear!$L$27:$U$27)/(1+$H156)^{1,2,3,4,5,6,7,8,9,10})+(Model_Bear!$U$40-$H156*Model_Bear!$U$27)*(1+0.035)/($H156-0.035)/(1+$H156)^10)/Model_Bear!$L$50</f>
        <v/>
      </c>
      <c r="J156" s="25" t="n">
        <v>0.048923</v>
      </c>
      <c r="K156" s="6">
        <f>(Model_Base!$L$48+SUMPRODUCT((Model_Base!$L$40:$U$40-$J156*Model_Base!$L$27:$U$27)/(1+$J156)^{1,2,3,4,5,6,7,8,9,10})+(Model_Base!$U$40-$J156*Model_Base!$U$27)*(1+0.04)/($J156-0.04)/(1+$J156)^10)/Model_Base!$L$50</f>
        <v/>
      </c>
      <c r="L156" s="25" t="n">
        <v>0.068538</v>
      </c>
      <c r="M156" s="6">
        <f>(Model_Bull!$L$48+SUMPRODUCT((Model_Bull!$L$40:$U$40-$L156*Model_Bull!$L$27:$U$27)/(1+$L156)^{1,2,3,4,5,6,7,8,9,10})+(Model_Bull!$U$40-$L156*Model_Bull!$U$27)*(1+0.06)/($L156-0.06)/(1+$L156)^10)/Model_Bull!$L$50</f>
        <v/>
      </c>
    </row>
    <row r="157">
      <c r="H157" s="25" t="n">
        <v>0.04151</v>
      </c>
      <c r="I157" s="6">
        <f>(Model_Bear!$L$48+SUMPRODUCT((Model_Bear!$L$40:$U$40-$H157*Model_Bear!$L$27:$U$27)/(1+$H157)^{1,2,3,4,5,6,7,8,9,10})+(Model_Bear!$U$40-$H157*Model_Bear!$U$27)*(1+0.035)/($H157-0.035)/(1+$H157)^10)/Model_Bear!$L$50</f>
        <v/>
      </c>
      <c r="J157" s="25" t="n">
        <v>0.046462</v>
      </c>
      <c r="K157" s="6">
        <f>(Model_Base!$L$48+SUMPRODUCT((Model_Base!$L$40:$U$40-$J157*Model_Base!$L$27:$U$27)/(1+$J157)^{1,2,3,4,5,6,7,8,9,10})+(Model_Base!$U$40-$J157*Model_Base!$U$27)*(1+0.04)/($J157-0.04)/(1+$J157)^10)/Model_Base!$L$50</f>
        <v/>
      </c>
      <c r="L157" s="25" t="n">
        <v>0.06626899999999999</v>
      </c>
      <c r="M157" s="6">
        <f>(Model_Bull!$L$48+SUMPRODUCT((Model_Bull!$L$40:$U$40-$L157*Model_Bull!$L$27:$U$27)/(1+$L157)^{1,2,3,4,5,6,7,8,9,10})+(Model_Bull!$U$40-$L157*Model_Bull!$U$27)*(1+0.06)/($L157-0.06)/(1+$L157)^10)/Model_Bull!$L$50</f>
        <v/>
      </c>
    </row>
    <row r="158">
      <c r="H158" s="25" t="n">
        <v>0.039</v>
      </c>
      <c r="I158" s="6">
        <f>(Model_Bear!$L$48+SUMPRODUCT((Model_Bear!$L$40:$U$40-$H158*Model_Bear!$L$27:$U$27)/(1+$H158)^{1,2,3,4,5,6,7,8,9,10})+(Model_Bear!$U$40-$H158*Model_Bear!$U$27)*(1+0.035)/($H158-0.035)/(1+$H158)^10)/Model_Bear!$L$50</f>
        <v/>
      </c>
      <c r="J158" s="25" t="n">
        <v>0.044</v>
      </c>
      <c r="K158" s="6">
        <f>(Model_Base!$L$48+SUMPRODUCT((Model_Base!$L$40:$U$40-$J158*Model_Base!$L$27:$U$27)/(1+$J158)^{1,2,3,4,5,6,7,8,9,10})+(Model_Base!$U$40-$J158*Model_Base!$U$27)*(1+0.04)/($J158-0.04)/(1+$J158)^10)/Model_Base!$L$50</f>
        <v/>
      </c>
      <c r="L158" s="25" t="n">
        <v>0.064</v>
      </c>
      <c r="M158" s="6">
        <f>(Model_Bull!$L$48+SUMPRODUCT((Model_Bull!$L$40:$U$40-$L158*Model_Bull!$L$27:$U$27)/(1+$L158)^{1,2,3,4,5,6,7,8,9,10})+(Model_Bull!$U$40-$L158*Model_Bull!$U$27)*(1+0.06)/($L158-0.06)/(1+$L158)^10)/Model_Bull!$L$50</f>
        <v/>
      </c>
    </row>
    <row r="159">
      <c r="H159" s="25" t="n"/>
      <c r="I159" s="6" t="n"/>
      <c r="J159" s="25" t="n"/>
      <c r="K159" s="6" t="n"/>
      <c r="L159" s="25" t="n"/>
      <c r="M159" s="6" t="n"/>
    </row>
    <row r="160">
      <c r="H160" s="25" t="n"/>
      <c r="I160" s="6" t="n"/>
      <c r="J160" s="25" t="n"/>
      <c r="K160" s="6" t="n"/>
      <c r="L160" s="25" t="n"/>
      <c r="M160" s="6" t="n"/>
    </row>
  </sheetData>
  <mergeCells count="1">
    <mergeCell ref="A40:G40"/>
  </mergeCells>
  <conditionalFormatting sqref="E43:E46">
    <cfRule type="cellIs" priority="1" operator="greaterThan" dxfId="1">
      <formula>0</formula>
    </cfRule>
    <cfRule type="cellIs" priority="2" operator="lessThan" dxfId="0">
      <formula>0</formula>
    </cfRule>
    <cfRule type="cellIs" priority="3" operator="greaterThan" dxfId="2">
      <formula>0</formula>
    </cfRule>
    <cfRule type="cellIs" priority="4" operator="lessThan" dxfId="3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8"/>
  <sheetViews>
    <sheetView zoomScale="170" zoomScaleNormal="170" workbookViewId="0">
      <selection activeCell="K10" sqref="K10"/>
    </sheetView>
  </sheetViews>
  <sheetFormatPr baseColWidth="10" defaultColWidth="8.83203125" defaultRowHeight="15"/>
  <cols>
    <col width="30" customWidth="1" style="92" min="1" max="1"/>
    <col width="13" customWidth="1" style="92" min="2" max="11"/>
  </cols>
  <sheetData>
    <row r="1" ht="17" customHeight="1" s="92">
      <c r="A1" s="38" t="inlineStr">
        <is>
          <t>GOOGL — Valuation Multiples by Fiscal Year</t>
        </is>
      </c>
    </row>
    <row r="2">
      <c r="A2" s="11" t="inlineStr">
        <is>
          <t>Price = close 30 calendar days after the FY earnings release (first post-FYE 8-K). Forward E = next FY realized EPS (newest year: consensus, blue). PEG = P/E ÷ fwd EPS growth%; n/m when growth or EPS ≤ 0. As-filed fundamentals; split-consistent basis. Facts tab — auto-extends each new fiscal year.</t>
        </is>
      </c>
    </row>
    <row r="3"/>
    <row r="4">
      <c r="A4" s="22" t="inlineStr">
        <is>
          <t>Fiscal year end</t>
        </is>
      </c>
      <c r="B4" s="9" t="n">
        <v>42735</v>
      </c>
      <c r="C4" s="9" t="n">
        <v>43100</v>
      </c>
      <c r="D4" s="9" t="n">
        <v>43465</v>
      </c>
      <c r="E4" s="9" t="n">
        <v>43830</v>
      </c>
      <c r="F4" s="9" t="n">
        <v>44196</v>
      </c>
      <c r="G4" s="9" t="n">
        <v>44561</v>
      </c>
      <c r="H4" s="9" t="n">
        <v>44926</v>
      </c>
      <c r="I4" s="9" t="n">
        <v>45291</v>
      </c>
      <c r="J4" s="9" t="n">
        <v>45657</v>
      </c>
      <c r="K4" s="9" t="n">
        <v>46022</v>
      </c>
    </row>
    <row r="5">
      <c r="A5" s="22" t="inlineStr">
        <is>
          <t>Earnings release (8-K)</t>
        </is>
      </c>
      <c r="B5" s="39" t="n">
        <v>42761</v>
      </c>
      <c r="C5" s="39" t="n">
        <v>43132</v>
      </c>
      <c r="D5" s="39" t="n">
        <v>43500</v>
      </c>
      <c r="E5" s="39" t="n">
        <v>43864</v>
      </c>
      <c r="F5" s="39" t="n">
        <v>44229</v>
      </c>
      <c r="G5" s="39" t="n">
        <v>44593</v>
      </c>
      <c r="H5" s="39" t="n">
        <v>44959</v>
      </c>
      <c r="I5" s="39" t="n">
        <v>45321</v>
      </c>
      <c r="J5" s="39" t="n">
        <v>45692</v>
      </c>
      <c r="K5" s="39" t="n">
        <v>46057</v>
      </c>
    </row>
    <row r="6">
      <c r="A6" s="22" t="inlineStr">
        <is>
          <t>Price date (+30d)</t>
        </is>
      </c>
      <c r="B6" s="39" t="n">
        <v>42793</v>
      </c>
      <c r="C6" s="39" t="n">
        <v>43164</v>
      </c>
      <c r="D6" s="39" t="n">
        <v>43530</v>
      </c>
      <c r="E6" s="39" t="n">
        <v>43894</v>
      </c>
      <c r="F6" s="39" t="n">
        <v>44259</v>
      </c>
      <c r="G6" s="39" t="n">
        <v>44623</v>
      </c>
      <c r="H6" s="39" t="n">
        <v>44991</v>
      </c>
      <c r="I6" s="39" t="n">
        <v>45351</v>
      </c>
      <c r="J6" s="39" t="n">
        <v>45722</v>
      </c>
      <c r="K6" s="39" t="n">
        <v>46087</v>
      </c>
    </row>
    <row r="7">
      <c r="A7" s="22" t="inlineStr">
        <is>
          <t>Price ($, split-adj basis)</t>
        </is>
      </c>
      <c r="B7" s="6" t="n">
        <v>42.48350143432617</v>
      </c>
      <c r="C7" s="6" t="n">
        <v>54.73799896240234</v>
      </c>
      <c r="D7" s="6" t="n">
        <v>58.24700164794922</v>
      </c>
      <c r="E7" s="6" t="n">
        <v>69.08000183105469</v>
      </c>
      <c r="F7" s="6" t="n">
        <v>101.6965026855469</v>
      </c>
      <c r="G7" s="6" t="n">
        <v>133.8995056152344</v>
      </c>
      <c r="H7" s="6" t="n">
        <v>95.12999725341797</v>
      </c>
      <c r="I7" s="6" t="n">
        <v>138.4600067138672</v>
      </c>
      <c r="J7" s="6" t="n">
        <v>172.3500061035156</v>
      </c>
      <c r="K7" s="6" t="n">
        <v>298.5199890136719</v>
      </c>
    </row>
    <row r="8">
      <c r="A8" s="22" t="inlineStr">
        <is>
          <t>Diluted EPS ($)</t>
        </is>
      </c>
      <c r="B8" s="6" t="n">
        <v>1.39</v>
      </c>
      <c r="C8" s="6" t="n">
        <v>0.9</v>
      </c>
      <c r="D8" s="6" t="n">
        <v>2.19</v>
      </c>
      <c r="E8" s="6" t="n">
        <v>2.46</v>
      </c>
      <c r="F8" s="6" t="n">
        <v>2.93</v>
      </c>
      <c r="G8" s="6" t="n">
        <v>5.61</v>
      </c>
      <c r="H8" s="6" t="n">
        <v>4.56</v>
      </c>
      <c r="I8" s="6" t="n">
        <v>5.8</v>
      </c>
      <c r="J8" s="6" t="n">
        <v>8.039999999999999</v>
      </c>
      <c r="K8" s="6" t="n">
        <v>10.81</v>
      </c>
    </row>
    <row r="9">
      <c r="A9" s="8" t="inlineStr">
        <is>
          <t>P/E (trailing)</t>
        </is>
      </c>
      <c r="B9" s="40" t="n">
        <v>30.5</v>
      </c>
      <c r="C9" s="40" t="n">
        <v>60.8</v>
      </c>
      <c r="D9" s="40" t="n">
        <v>26.7</v>
      </c>
      <c r="E9" s="40" t="n">
        <v>28.1</v>
      </c>
      <c r="F9" s="40" t="n">
        <v>34.7</v>
      </c>
      <c r="G9" s="40" t="n">
        <v>23.9</v>
      </c>
      <c r="H9" s="40" t="n">
        <v>20.9</v>
      </c>
      <c r="I9" s="40" t="n">
        <v>23.9</v>
      </c>
      <c r="J9" s="40" t="n">
        <v>21.4</v>
      </c>
      <c r="K9" s="40" t="n">
        <v>27.6</v>
      </c>
    </row>
    <row r="10">
      <c r="A10" s="22" t="inlineStr">
        <is>
          <t>Forward EPS ($)</t>
        </is>
      </c>
      <c r="B10" s="6" t="n">
        <v>0.9</v>
      </c>
      <c r="C10" s="6" t="n">
        <v>2.19</v>
      </c>
      <c r="D10" s="6" t="n">
        <v>2.46</v>
      </c>
      <c r="E10" s="6" t="n">
        <v>2.93</v>
      </c>
      <c r="F10" s="6" t="n">
        <v>5.61</v>
      </c>
      <c r="G10" s="6" t="n">
        <v>4.56</v>
      </c>
      <c r="H10" s="6" t="n">
        <v>5.8</v>
      </c>
      <c r="I10" s="6" t="n">
        <v>8.039999999999999</v>
      </c>
      <c r="J10" s="6" t="n">
        <v>10.81</v>
      </c>
      <c r="K10" s="36" t="n"/>
    </row>
    <row r="11">
      <c r="A11" s="8" t="inlineStr">
        <is>
          <t>P/forward E</t>
        </is>
      </c>
      <c r="B11" s="40" t="n">
        <v>47.2</v>
      </c>
      <c r="C11" s="40" t="n">
        <v>25.1</v>
      </c>
      <c r="D11" s="40" t="n">
        <v>23.7</v>
      </c>
      <c r="E11" s="40" t="n">
        <v>23.6</v>
      </c>
      <c r="F11" s="40" t="n">
        <v>18.1</v>
      </c>
      <c r="G11" s="40" t="n">
        <v>29.4</v>
      </c>
      <c r="H11" s="40" t="n">
        <v>16.4</v>
      </c>
      <c r="I11" s="40" t="n">
        <v>17.2</v>
      </c>
      <c r="J11" s="40" t="n">
        <v>15.9</v>
      </c>
      <c r="K11" s="40" t="inlineStr">
        <is>
          <t>n/m</t>
        </is>
      </c>
    </row>
    <row r="12">
      <c r="A12" s="22" t="inlineStr">
        <is>
          <t>Fwd EPS growth %</t>
        </is>
      </c>
      <c r="B12" s="41" t="n">
        <v>-35.4</v>
      </c>
      <c r="C12" s="41" t="n">
        <v>142.8</v>
      </c>
      <c r="D12" s="41" t="n">
        <v>12.5</v>
      </c>
      <c r="E12" s="41" t="n">
        <v>19.2</v>
      </c>
      <c r="F12" s="41" t="n">
        <v>91.5</v>
      </c>
      <c r="G12" s="41" t="n">
        <v>-18.7</v>
      </c>
      <c r="H12" s="41" t="n">
        <v>27.2</v>
      </c>
      <c r="I12" s="41" t="n">
        <v>38.6</v>
      </c>
      <c r="J12" s="41" t="n">
        <v>34.5</v>
      </c>
      <c r="K12" s="41" t="inlineStr">
        <is>
          <t>n/m</t>
        </is>
      </c>
    </row>
    <row r="13">
      <c r="A13" s="8" t="inlineStr">
        <is>
          <t>PEG</t>
        </is>
      </c>
      <c r="B13" s="42" t="inlineStr">
        <is>
          <t>n/m</t>
        </is>
      </c>
      <c r="C13" s="42" t="n">
        <v>0.43</v>
      </c>
      <c r="D13" s="42" t="n">
        <v>2.13</v>
      </c>
      <c r="E13" s="42" t="n">
        <v>1.46</v>
      </c>
      <c r="F13" s="42" t="n">
        <v>0.38</v>
      </c>
      <c r="G13" s="42" t="inlineStr">
        <is>
          <t>n/m</t>
        </is>
      </c>
      <c r="H13" s="42" t="n">
        <v>0.77</v>
      </c>
      <c r="I13" s="42" t="n">
        <v>0.62</v>
      </c>
      <c r="J13" s="42" t="n">
        <v>0.62</v>
      </c>
      <c r="K13" s="42" t="inlineStr">
        <is>
          <t>n/m</t>
        </is>
      </c>
    </row>
    <row r="14">
      <c r="A14" s="22" t="inlineStr">
        <is>
          <t>Market cap ($M)</t>
        </is>
      </c>
      <c r="B14" s="5" t="n">
        <v>594250</v>
      </c>
      <c r="C14" s="5" t="n">
        <v>770103</v>
      </c>
      <c r="D14" s="5" t="n">
        <v>819350</v>
      </c>
      <c r="E14" s="5" t="n">
        <v>965181</v>
      </c>
      <c r="F14" s="5" t="n">
        <v>1397685</v>
      </c>
      <c r="G14" s="5" t="n">
        <v>1814756</v>
      </c>
      <c r="H14" s="5" t="n">
        <v>1251126</v>
      </c>
      <c r="I14" s="5" t="n">
        <v>1761665</v>
      </c>
      <c r="J14" s="5" t="n">
        <v>2146186</v>
      </c>
      <c r="K14" s="5" t="n">
        <v>3649897</v>
      </c>
    </row>
    <row r="15">
      <c r="A15" s="22" t="inlineStr">
        <is>
          <t>Revenue ($M)</t>
        </is>
      </c>
      <c r="B15" s="5" t="n">
        <v>90272</v>
      </c>
      <c r="C15" s="5" t="n">
        <v>110855</v>
      </c>
      <c r="D15" s="5" t="n">
        <v>136819</v>
      </c>
      <c r="E15" s="5" t="n">
        <v>161857</v>
      </c>
      <c r="F15" s="5" t="n">
        <v>182527</v>
      </c>
      <c r="G15" s="5" t="n">
        <v>257637</v>
      </c>
      <c r="H15" s="5" t="n">
        <v>282836</v>
      </c>
      <c r="I15" s="5" t="n">
        <v>307394</v>
      </c>
      <c r="J15" s="5" t="n">
        <v>350018</v>
      </c>
      <c r="K15" s="5" t="n">
        <v>402836</v>
      </c>
    </row>
    <row r="16">
      <c r="A16" s="8" t="inlineStr">
        <is>
          <t>P/S</t>
        </is>
      </c>
      <c r="B16" s="42" t="n">
        <v>6.58</v>
      </c>
      <c r="C16" s="42" t="n">
        <v>6.95</v>
      </c>
      <c r="D16" s="42" t="n">
        <v>5.99</v>
      </c>
      <c r="E16" s="42" t="n">
        <v>5.96</v>
      </c>
      <c r="F16" s="42" t="n">
        <v>7.66</v>
      </c>
      <c r="G16" s="42" t="n">
        <v>7.04</v>
      </c>
      <c r="H16" s="42" t="n">
        <v>4.42</v>
      </c>
      <c r="I16" s="42" t="n">
        <v>5.73</v>
      </c>
      <c r="J16" s="42" t="n">
        <v>6.13</v>
      </c>
      <c r="K16" s="42" t="n">
        <v>9.06</v>
      </c>
    </row>
    <row r="17">
      <c r="A17" s="22" t="inlineStr">
        <is>
          <t>Common equity ($M)</t>
        </is>
      </c>
      <c r="B17" s="5" t="n">
        <v>139036</v>
      </c>
      <c r="C17" s="5" t="n">
        <v>152502</v>
      </c>
      <c r="D17" s="5" t="n">
        <v>177628</v>
      </c>
      <c r="E17" s="5" t="n">
        <v>201442</v>
      </c>
      <c r="F17" s="5" t="n">
        <v>222544</v>
      </c>
      <c r="G17" s="5" t="n">
        <v>251635</v>
      </c>
      <c r="H17" s="5" t="n">
        <v>256144</v>
      </c>
      <c r="I17" s="5" t="n">
        <v>283379</v>
      </c>
      <c r="J17" s="5" t="n">
        <v>325084</v>
      </c>
      <c r="K17" s="5" t="n">
        <v>415265</v>
      </c>
    </row>
    <row r="18">
      <c r="A18" s="8" t="inlineStr">
        <is>
          <t>P/B</t>
        </is>
      </c>
      <c r="B18" s="42" t="n">
        <v>4.27</v>
      </c>
      <c r="C18" s="42" t="n">
        <v>5.05</v>
      </c>
      <c r="D18" s="42" t="n">
        <v>4.61</v>
      </c>
      <c r="E18" s="42" t="n">
        <v>4.79</v>
      </c>
      <c r="F18" s="42" t="n">
        <v>6.28</v>
      </c>
      <c r="G18" s="42" t="n">
        <v>7.21</v>
      </c>
      <c r="H18" s="42" t="n">
        <v>4.88</v>
      </c>
      <c r="I18" s="42" t="n">
        <v>6.22</v>
      </c>
      <c r="J18" s="42" t="n">
        <v>6.6</v>
      </c>
      <c r="K18" s="42" t="n">
        <v>8.789999999999999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2026-03-08T06:17:48Z</dcterms:created>
  <dcterms:modified xmlns:dcterms="http://purl.org/dc/terms/" xmlns:xsi="http://www.w3.org/2001/XMLSchema-instance" xsi:type="dcterms:W3CDTF">2026-06-14T19:41:57Z</dcterms:modified>
  <cp:lastModifiedBy>Wang, Charles</cp:lastModifiedBy>
  <cp:revision>0</cp:revision>
</cp:coreProperties>
</file>